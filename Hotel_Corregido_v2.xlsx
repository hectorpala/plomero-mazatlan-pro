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560" windowHeight="13905" tabRatio="600" firstSheet="2" activeTab="3" autoFilterDateGrouping="1"/>
  </bookViews>
  <sheets>
    <sheet name="📊 Inicio" sheetId="1" state="visible" r:id="rId1"/>
    <sheet name="📅 Calendario" sheetId="2" state="visible" r:id="rId2"/>
    <sheet name="Hoja1" sheetId="3" state="visible" r:id="rId3"/>
    <sheet name="Análisis y Recomendaciones" sheetId="4" state="visible" r:id="rId4"/>
    <sheet name="Dashboard KPIs" sheetId="5" state="visible" r:id="rId5"/>
    <sheet name="Seguimiento Diario" sheetId="6" state="visible" r:id="rId6"/>
    <sheet name="Gráficos" sheetId="7" state="visible" r:id="rId7"/>
    <sheet name="Histórico" sheetId="8" state="visible" r:id="rId8"/>
  </sheets>
  <definedNames>
    <definedName name="OcupacionReal">'Seguimiento Diario'!$E$6:$E$33</definedName>
    <definedName name="TarifaReal">'Seguimiento Diario'!$G$6:$G$33</definedName>
    <definedName name="IngresosDiarios">'Seguimiento Diario'!$H$6:$H$33</definedName>
    <definedName name="MetaMensual">'Seguimiento Diario'!$D$4</definedName>
    <definedName name="DiasCapturados">COUNTA('Seguimiento Diario'!$E$6:$E$33)</definedName>
    <definedName name="ProyeccionMensual">'Seguimiento Diario'!$Q$7</definedName>
    <definedName name="_xlnm.Print_Area" localSheetId="4">'Dashboard KPIs'!$A$1:$G$45</definedName>
    <definedName name="_xlnm.Print_Titles" localSheetId="5">'Seguimiento Diario'!$5:$5</definedName>
    <definedName name="_xlnm.Print_Area" localSheetId="5">'Seguimiento Diario'!$A$1:$O$35</definedName>
  </definedNames>
  <calcPr calcId="191028" fullCalcOnLoad="1"/>
</workbook>
</file>

<file path=xl/styles.xml><?xml version="1.0" encoding="utf-8"?>
<styleSheet xmlns="http://schemas.openxmlformats.org/spreadsheetml/2006/main">
  <numFmts count="13">
    <numFmt numFmtId="164" formatCode="&quot;$&quot;#,##0;[Red]\-&quot;$&quot;#,##0"/>
    <numFmt numFmtId="165" formatCode="&quot;$&quot;#,##0.00"/>
    <numFmt numFmtId="166" formatCode="\+0.00%;\-0.00%"/>
    <numFmt numFmtId="167" formatCode="\+&quot;$&quot;#,##0;\-&quot;$&quot;#,##0"/>
    <numFmt numFmtId="168" formatCode="&quot;$&quot;#,##0"/>
    <numFmt numFmtId="169" formatCode="0.0%"/>
    <numFmt numFmtId="170" formatCode="\+#,##0;\-#,##0"/>
    <numFmt numFmtId="171" formatCode="&quot;$&quot;#,##0.00;[Red]\-&quot;$&quot;#,##0.00"/>
    <numFmt numFmtId="172" formatCode="\+0.00%"/>
    <numFmt numFmtId="173" formatCode="\+0.0%;\-0.0%"/>
    <numFmt numFmtId="174" formatCode="&quot;$&quot;#,##0;\(&quot;$&quot;#,##0\)"/>
    <numFmt numFmtId="175" formatCode="&quot;$&quot;#,##0;\(&quot;$&quot;#,##0\);&quot;-&quot;"/>
    <numFmt numFmtId="176" formatCode="$#,##0"/>
  </numFmts>
  <fonts count="9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ED7D31"/>
      <sz val="11"/>
      <scheme val="minor"/>
    </font>
    <font>
      <name val="Calibri"/>
      <family val="2"/>
      <b val="1"/>
      <color rgb="FF70AD47"/>
      <sz val="11"/>
      <scheme val="minor"/>
    </font>
    <font>
      <name val="Calibri"/>
      <family val="2"/>
      <b val="1"/>
      <color rgb="FF5B9BD5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8000"/>
      <sz val="11"/>
      <scheme val="minor"/>
    </font>
    <font>
      <name val="Calibri"/>
      <family val="2"/>
      <b val="1"/>
      <color rgb="FF008000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color rgb="FF1F4E79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C59A00"/>
      <sz val="11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i val="1"/>
      <color rgb="FF008000"/>
      <sz val="11"/>
      <scheme val="minor"/>
    </font>
    <font>
      <name val="Calibri"/>
      <family val="2"/>
      <color theme="1"/>
      <sz val="14"/>
      <scheme val="minor"/>
    </font>
    <font>
      <name val="Calibri"/>
      <b val="1"/>
      <color rgb="FFFFFFFF"/>
      <sz val="16"/>
    </font>
    <font>
      <name val="Calibri"/>
      <color theme="1"/>
      <sz val="11"/>
    </font>
    <font>
      <name val="Calibri"/>
      <i val="1"/>
      <color rgb="FF1F4E79"/>
      <sz val="11"/>
    </font>
    <font>
      <name val="Calibri"/>
      <b val="1"/>
      <color rgb="FFFFFFFF"/>
      <sz val="10"/>
    </font>
    <font>
      <name val="Calibri"/>
      <b val="1"/>
      <color rgb="FFFFFFFF"/>
      <sz val="11"/>
    </font>
    <font>
      <name val="Calibri"/>
      <b val="1"/>
      <color theme="1"/>
      <sz val="9"/>
    </font>
    <font>
      <name val="Calibri"/>
      <b val="1"/>
      <color rgb="FFFFFFFF"/>
      <sz val="14"/>
    </font>
    <font>
      <name val="Calibri"/>
      <i val="1"/>
      <color rgb="FF666666"/>
      <sz val="11"/>
    </font>
    <font>
      <name val="Calibri"/>
      <b val="1"/>
      <color theme="1"/>
      <sz val="11"/>
    </font>
    <font>
      <name val="Calibri"/>
      <b val="1"/>
      <color rgb="FFC00000"/>
      <sz val="11"/>
    </font>
    <font>
      <name val="Calibri"/>
      <b val="1"/>
      <color rgb="FFED7D31"/>
      <sz val="11"/>
    </font>
    <font>
      <name val="Calibri"/>
      <b val="1"/>
      <color rgb="FF70AD47"/>
      <sz val="11"/>
    </font>
    <font>
      <name val="Calibri"/>
      <b val="1"/>
      <color rgb="FF5B9BD5"/>
      <sz val="11"/>
    </font>
    <font>
      <name val="Calibri"/>
      <b val="1"/>
      <color theme="1"/>
      <sz val="12"/>
    </font>
    <font>
      <name val="Calibri"/>
      <b val="1"/>
      <color rgb="FF008000"/>
      <sz val="11"/>
    </font>
    <font>
      <name val="Calibri"/>
      <b val="1"/>
      <color rgb="FFFFFFFF"/>
      <sz val="18"/>
    </font>
    <font>
      <name val="Calibri"/>
      <color theme="1"/>
      <sz val="16"/>
    </font>
    <font>
      <name val="Calibri"/>
      <color theme="1"/>
      <sz val="9"/>
    </font>
    <font>
      <name val="Calibri"/>
      <color rgb="FF008000"/>
      <sz val="11"/>
    </font>
    <font>
      <name val="Calibri"/>
      <color rgb="FFC00000"/>
      <sz val="11"/>
    </font>
    <font>
      <name val="Calibri"/>
      <b val="1"/>
      <color rgb="FFFFFFFF"/>
      <sz val="12"/>
    </font>
    <font>
      <name val="Calibri"/>
      <b val="1"/>
      <color rgb="FFC59A00"/>
      <sz val="11"/>
    </font>
    <font>
      <name val="Calibri"/>
      <color theme="1"/>
      <sz val="12"/>
    </font>
    <font>
      <name val="Calibri"/>
      <b val="1"/>
      <color rgb="FF1F4E79"/>
      <sz val="11"/>
    </font>
    <font>
      <name val="Calibri"/>
      <b val="1"/>
      <color rgb="FF0000FF"/>
      <sz val="11"/>
    </font>
    <font>
      <name val="Calibri"/>
      <b val="1"/>
      <color theme="1"/>
      <sz val="10"/>
    </font>
    <font>
      <name val="Calibri"/>
      <i val="1"/>
      <color theme="1"/>
      <sz val="9"/>
    </font>
    <font>
      <name val="Calibri"/>
      <i val="1"/>
      <color rgb="FF008000"/>
      <sz val="11"/>
    </font>
    <font>
      <name val="Calibri"/>
      <color theme="1"/>
      <sz val="14"/>
    </font>
    <font>
      <b val="1"/>
      <color rgb="001F4E79"/>
      <sz val="18"/>
    </font>
    <font>
      <i val="1"/>
      <color rgb="00666666"/>
      <sz val="12"/>
    </font>
    <font>
      <b val="1"/>
      <sz val="14"/>
    </font>
    <font>
      <color rgb="000563C1"/>
      <sz val="12"/>
      <u val="single"/>
    </font>
    <font>
      <color rgb="00666666"/>
    </font>
    <font>
      <b val="1"/>
    </font>
    <font>
      <b val="1"/>
      <color rgb="00FFFFFF"/>
    </font>
    <font>
      <b val="1"/>
      <sz val="11"/>
    </font>
    <font>
      <b val="1"/>
      <color rgb="001F4E79"/>
      <sz val="14"/>
    </font>
    <font>
      <color rgb="00666666"/>
      <sz val="11"/>
    </font>
    <font>
      <color rgb="004472C4"/>
      <sz val="12"/>
    </font>
    <font>
      <b val="1"/>
      <color rgb="00C00000"/>
      <sz val="11"/>
    </font>
    <font>
      <sz val="10"/>
    </font>
    <font>
      <color rgb="00C00000"/>
      <sz val="10"/>
    </font>
    <font>
      <b val="1"/>
      <i val="1"/>
    </font>
    <font>
      <b val="1"/>
      <sz val="12"/>
    </font>
    <font>
      <i val="1"/>
      <color rgb="00666666"/>
      <sz val="9"/>
    </font>
    <font>
      <color rgb="00006400"/>
    </font>
    <font>
      <b val="1"/>
      <color rgb="001F4E79"/>
      <sz val="12"/>
    </font>
    <font>
      <i val="1"/>
      <color rgb="00666666"/>
    </font>
    <font>
      <b val="1"/>
      <sz val="10"/>
    </font>
    <font>
      <color rgb="00666666"/>
      <sz val="10"/>
    </font>
    <font>
      <color rgb="00666666"/>
      <sz val="9"/>
    </font>
    <font>
      <i val="1"/>
      <color rgb="00999999"/>
      <sz val="9"/>
    </font>
    <font>
      <b val="1"/>
      <color rgb="00C00000"/>
      <sz val="12"/>
    </font>
    <font>
      <i val="1"/>
    </font>
    <font>
      <name val="Consolas"/>
      <sz val="10"/>
    </font>
    <font>
      <b val="1"/>
      <color rgb="00FFFFFF"/>
      <sz val="11"/>
    </font>
    <font>
      <i val="1"/>
      <color rgb="00999999"/>
      <sz val="8"/>
    </font>
    <font>
      <color rgb="00FFFFFF"/>
    </font>
    <font>
      <color rgb="001F4E79"/>
      <sz val="9"/>
    </font>
    <font>
      <b val="1"/>
      <color rgb="00C00000"/>
    </font>
  </fonts>
  <fills count="27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00E6F3FF"/>
        <bgColor rgb="00E6F3FF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/>
      <bottom/>
    </border>
    <border>
      <left/>
      <right/>
      <top/>
      <bottom style="medium">
        <color rgb="FF1F4E79"/>
      </bottom>
    </border>
    <border>
      <left style="thin"/>
      <right style="thin"/>
      <top style="thin"/>
      <bottom style="thin"/>
    </border>
    <border>
      <bottom style="thin">
        <color rgb="00CCCCCC"/>
      </bottom>
    </border>
    <border>
      <top style="medium"/>
      <bottom style="double"/>
    </border>
  </borders>
  <cellStyleXfs count="1">
    <xf numFmtId="0" fontId="0" fillId="0" borderId="0"/>
  </cellStyleXfs>
  <cellXfs count="56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0" pivotButton="0" quotePrefix="0" xfId="0"/>
    <xf numFmtId="0" fontId="0" fillId="4" borderId="0" pivotButton="0" quotePrefix="0" xfId="0"/>
    <xf numFmtId="0" fontId="3" fillId="3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0" fontId="12" fillId="0" borderId="0" pivotButton="0" quotePrefix="0" xfId="0"/>
    <xf numFmtId="0" fontId="12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13" fillId="2" borderId="0" pivotButton="0" quotePrefix="0" xfId="0"/>
    <xf numFmtId="0" fontId="14" fillId="3" borderId="0" pivotButton="0" quotePrefix="0" xfId="0"/>
    <xf numFmtId="0" fontId="0" fillId="3" borderId="0" pivotButton="0" quotePrefix="0" xfId="0"/>
    <xf numFmtId="0" fontId="15" fillId="5" borderId="0" applyAlignment="1" pivotButton="0" quotePrefix="0" xfId="0">
      <alignment horizontal="center"/>
    </xf>
    <xf numFmtId="14" fontId="0" fillId="0" borderId="0" pivotButton="0" quotePrefix="0" xfId="0"/>
    <xf numFmtId="14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0" fontId="0" fillId="6" borderId="0" applyAlignment="1" pivotButton="0" quotePrefix="0" xfId="0">
      <alignment horizontal="center"/>
    </xf>
    <xf numFmtId="165" fontId="0" fillId="6" borderId="0" applyAlignment="1" pivotButton="0" quotePrefix="0" xfId="0">
      <alignment horizontal="right"/>
    </xf>
    <xf numFmtId="14" fontId="0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10" fontId="0" fillId="8" borderId="0" applyAlignment="1" pivotButton="0" quotePrefix="0" xfId="0">
      <alignment horizontal="center"/>
    </xf>
    <xf numFmtId="165" fontId="0" fillId="7" borderId="0" applyAlignment="1" pivotButton="0" quotePrefix="0" xfId="0">
      <alignment horizontal="right"/>
    </xf>
    <xf numFmtId="10" fontId="0" fillId="7" borderId="0" applyAlignment="1" pivotButton="0" quotePrefix="0" xfId="0">
      <alignment horizontal="center"/>
    </xf>
    <xf numFmtId="10" fontId="0" fillId="9" borderId="0" applyAlignment="1" pivotButton="0" quotePrefix="0" xfId="0">
      <alignment horizontal="center"/>
    </xf>
    <xf numFmtId="0" fontId="16" fillId="2" borderId="0" applyAlignment="1" pivotButton="0" quotePrefix="0" xfId="0">
      <alignment horizontal="center"/>
    </xf>
    <xf numFmtId="10" fontId="16" fillId="2" borderId="0" applyAlignment="1" pivotButton="0" quotePrefix="0" xfId="0">
      <alignment horizontal="center"/>
    </xf>
    <xf numFmtId="165" fontId="16" fillId="2" borderId="0" applyAlignment="1" pivotButton="0" quotePrefix="0" xfId="0">
      <alignment horizontal="right"/>
    </xf>
    <xf numFmtId="0" fontId="15" fillId="5" borderId="1" applyAlignment="1" pivotButton="0" quotePrefix="0" xfId="0">
      <alignment horizontal="center"/>
    </xf>
    <xf numFmtId="165" fontId="0" fillId="0" borderId="0" pivotButton="0" quotePrefix="0" xfId="0"/>
    <xf numFmtId="0" fontId="18" fillId="0" borderId="0" pivotButton="0" quotePrefix="0" xfId="0"/>
    <xf numFmtId="0" fontId="18" fillId="3" borderId="0" pivotButton="0" quotePrefix="0" xfId="0"/>
    <xf numFmtId="0" fontId="19" fillId="2" borderId="0" pivotButton="0" quotePrefix="0" xfId="0"/>
    <xf numFmtId="0" fontId="16" fillId="5" borderId="0" pivotButton="0" quotePrefix="0" xfId="0"/>
    <xf numFmtId="0" fontId="16" fillId="5" borderId="0" applyAlignment="1" pivotButton="0" quotePrefix="0" xfId="0">
      <alignment horizontal="center"/>
    </xf>
    <xf numFmtId="0" fontId="3" fillId="6" borderId="0" pivotButton="0" quotePrefix="0" xfId="0"/>
    <xf numFmtId="166" fontId="0" fillId="6" borderId="0" applyAlignment="1" pivotButton="0" quotePrefix="0" xfId="0">
      <alignment horizontal="center"/>
    </xf>
    <xf numFmtId="0" fontId="20" fillId="6" borderId="0" applyAlignment="1" pivotButton="0" quotePrefix="0" xfId="0">
      <alignment horizontal="center"/>
    </xf>
    <xf numFmtId="0" fontId="17" fillId="6" borderId="0" pivotButton="0" quotePrefix="0" xfId="0"/>
    <xf numFmtId="0" fontId="3" fillId="7" borderId="0" pivotButton="0" quotePrefix="0" xfId="0"/>
    <xf numFmtId="165" fontId="0" fillId="7" borderId="0" applyAlignment="1" pivotButton="0" quotePrefix="0" xfId="0">
      <alignment horizontal="center"/>
    </xf>
    <xf numFmtId="167" fontId="0" fillId="7" borderId="0" applyAlignment="1" pivotButton="0" quotePrefix="0" xfId="0">
      <alignment horizontal="center"/>
    </xf>
    <xf numFmtId="0" fontId="20" fillId="7" borderId="0" applyAlignment="1" pivotButton="0" quotePrefix="0" xfId="0">
      <alignment horizontal="center"/>
    </xf>
    <xf numFmtId="0" fontId="17" fillId="7" borderId="0" pivotButton="0" quotePrefix="0" xfId="0"/>
    <xf numFmtId="165" fontId="0" fillId="6" borderId="0" applyAlignment="1" pivotButton="0" quotePrefix="0" xfId="0">
      <alignment horizontal="center"/>
    </xf>
    <xf numFmtId="167" fontId="0" fillId="6" borderId="0" applyAlignment="1" pivotButton="0" quotePrefix="0" xfId="0">
      <alignment horizontal="center"/>
    </xf>
    <xf numFmtId="166" fontId="0" fillId="7" borderId="0" applyAlignment="1" pivotButton="0" quotePrefix="0" xfId="0">
      <alignment horizontal="center"/>
    </xf>
    <xf numFmtId="168" fontId="0" fillId="6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169" fontId="0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170" fontId="0" fillId="7" borderId="0" applyAlignment="1" pivotButton="0" quotePrefix="0" xfId="0">
      <alignment horizontal="center"/>
    </xf>
    <xf numFmtId="0" fontId="21" fillId="2" borderId="0" pivotButton="0" quotePrefix="0" xfId="0"/>
    <xf numFmtId="10" fontId="12" fillId="0" borderId="0" pivotButton="0" quotePrefix="0" xfId="0"/>
    <xf numFmtId="0" fontId="22" fillId="0" borderId="0" pivotButton="0" quotePrefix="0" xfId="0"/>
    <xf numFmtId="10" fontId="22" fillId="0" borderId="0" pivotButton="0" quotePrefix="0" xfId="0"/>
    <xf numFmtId="10" fontId="5" fillId="0" borderId="0" pivotButton="0" quotePrefix="0" xfId="0"/>
    <xf numFmtId="0" fontId="3" fillId="10" borderId="0" pivotButton="0" quotePrefix="0" xfId="0"/>
    <xf numFmtId="164" fontId="5" fillId="10" borderId="0" pivotButton="0" quotePrefix="0" xfId="0"/>
    <xf numFmtId="0" fontId="0" fillId="10" borderId="0" pivotButton="0" quotePrefix="0" xfId="0"/>
    <xf numFmtId="0" fontId="3" fillId="6" borderId="0" applyAlignment="1" pivotButton="0" quotePrefix="0" xfId="0">
      <alignment horizontal="center"/>
    </xf>
    <xf numFmtId="168" fontId="0" fillId="6" borderId="0" applyAlignment="1" pivotButton="0" quotePrefix="0" xfId="0">
      <alignment horizontal="right"/>
    </xf>
    <xf numFmtId="0" fontId="3" fillId="7" borderId="0" applyAlignment="1" pivotButton="0" quotePrefix="0" xfId="0">
      <alignment horizontal="center"/>
    </xf>
    <xf numFmtId="169" fontId="0" fillId="7" borderId="0" applyAlignment="1" pivotButton="0" quotePrefix="0" xfId="0">
      <alignment horizontal="center"/>
    </xf>
    <xf numFmtId="168" fontId="0" fillId="7" borderId="0" applyAlignment="1" pivotButton="0" quotePrefix="0" xfId="0">
      <alignment horizontal="right"/>
    </xf>
    <xf numFmtId="0" fontId="3" fillId="9" borderId="0" applyAlignment="1" pivotButton="0" quotePrefix="0" xfId="0">
      <alignment horizontal="center"/>
    </xf>
    <xf numFmtId="169" fontId="3" fillId="9" borderId="0" applyAlignment="1" pivotButton="0" quotePrefix="0" xfId="0">
      <alignment horizontal="center"/>
    </xf>
    <xf numFmtId="165" fontId="0" fillId="9" borderId="0" applyAlignment="1" pivotButton="0" quotePrefix="0" xfId="0">
      <alignment horizontal="right"/>
    </xf>
    <xf numFmtId="168" fontId="0" fillId="9" borderId="0" applyAlignment="1" pivotButton="0" quotePrefix="0" xfId="0">
      <alignment horizontal="right"/>
    </xf>
    <xf numFmtId="0" fontId="18" fillId="9" borderId="0" pivotButton="0" quotePrefix="0" xfId="0"/>
    <xf numFmtId="0" fontId="3" fillId="8" borderId="0" applyAlignment="1" pivotButton="0" quotePrefix="0" xfId="0">
      <alignment horizontal="center"/>
    </xf>
    <xf numFmtId="169" fontId="3" fillId="8" borderId="0" applyAlignment="1" pivotButton="0" quotePrefix="0" xfId="0">
      <alignment horizontal="center"/>
    </xf>
    <xf numFmtId="165" fontId="0" fillId="8" borderId="0" applyAlignment="1" pivotButton="0" quotePrefix="0" xfId="0">
      <alignment horizontal="right"/>
    </xf>
    <xf numFmtId="168" fontId="0" fillId="8" borderId="0" applyAlignment="1" pivotButton="0" quotePrefix="0" xfId="0">
      <alignment horizontal="right"/>
    </xf>
    <xf numFmtId="0" fontId="18" fillId="8" borderId="0" pivotButton="0" quotePrefix="0" xfId="0"/>
    <xf numFmtId="0" fontId="3" fillId="4" borderId="0" pivotButton="0" quotePrefix="0" xfId="0"/>
    <xf numFmtId="171" fontId="23" fillId="0" borderId="0" pivotButton="0" quotePrefix="0" xfId="0"/>
    <xf numFmtId="168" fontId="24" fillId="11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5" fontId="5" fillId="10" borderId="0" applyAlignment="1" pivotButton="0" quotePrefix="0" xfId="0">
      <alignment horizontal="right"/>
    </xf>
    <xf numFmtId="172" fontId="5" fillId="10" borderId="0" applyAlignment="1" pivotButton="0" quotePrefix="0" xfId="0">
      <alignment horizontal="right"/>
    </xf>
    <xf numFmtId="0" fontId="0" fillId="5" borderId="0" pivotButton="0" quotePrefix="0" xfId="0"/>
    <xf numFmtId="0" fontId="15" fillId="12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7" fillId="4" borderId="0" pivotButton="0" quotePrefix="0" xfId="0"/>
    <xf numFmtId="165" fontId="3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73" fontId="0" fillId="4" borderId="0" applyAlignment="1" pivotButton="0" quotePrefix="0" xfId="0">
      <alignment horizontal="center"/>
    </xf>
    <xf numFmtId="0" fontId="12" fillId="4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17" fillId="10" borderId="0" pivotButton="0" quotePrefix="0" xfId="0"/>
    <xf numFmtId="165" fontId="3" fillId="10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173" fontId="0" fillId="10" borderId="0" applyAlignment="1" pivotButton="0" quotePrefix="0" xfId="0">
      <alignment horizontal="center"/>
    </xf>
    <xf numFmtId="0" fontId="22" fillId="10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17" fillId="13" borderId="0" pivotButton="0" quotePrefix="0" xfId="0"/>
    <xf numFmtId="165" fontId="3" fillId="13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173" fontId="0" fillId="13" borderId="0" applyAlignment="1" pivotButton="0" quotePrefix="0" xfId="0">
      <alignment horizontal="center"/>
    </xf>
    <xf numFmtId="0" fontId="12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17" fillId="14" borderId="0" pivotButton="0" quotePrefix="0" xfId="0"/>
    <xf numFmtId="165" fontId="3" fillId="14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173" fontId="0" fillId="14" borderId="0" applyAlignment="1" pivotButton="0" quotePrefix="0" xfId="0">
      <alignment horizontal="center"/>
    </xf>
    <xf numFmtId="0" fontId="12" fillId="14" borderId="0" applyAlignment="1" pivotButton="0" quotePrefix="0" xfId="0">
      <alignment horizontal="center"/>
    </xf>
    <xf numFmtId="0" fontId="16" fillId="15" borderId="0" pivotButton="0" quotePrefix="0" xfId="0"/>
    <xf numFmtId="0" fontId="0" fillId="15" borderId="0" pivotButton="0" quotePrefix="0" xfId="0"/>
    <xf numFmtId="0" fontId="25" fillId="3" borderId="0" pivotButton="0" quotePrefix="0" xfId="0"/>
    <xf numFmtId="0" fontId="26" fillId="0" borderId="0" pivotButton="0" quotePrefix="0" xfId="0"/>
    <xf numFmtId="0" fontId="13" fillId="15" borderId="0" pivotButton="0" quotePrefix="0" xfId="0"/>
    <xf numFmtId="0" fontId="27" fillId="4" borderId="0" pivotButton="0" quotePrefix="0" xfId="0"/>
    <xf numFmtId="0" fontId="0" fillId="3" borderId="0" applyAlignment="1" pivotButton="0" quotePrefix="0" xfId="0">
      <alignment horizontal="right"/>
    </xf>
    <xf numFmtId="168" fontId="3" fillId="11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168" fontId="3" fillId="3" borderId="0" applyAlignment="1" pivotButton="0" quotePrefix="0" xfId="0">
      <alignment horizontal="left"/>
    </xf>
    <xf numFmtId="168" fontId="5" fillId="3" borderId="0" applyAlignment="1" pivotButton="0" quotePrefix="0" xfId="0">
      <alignment horizontal="left"/>
    </xf>
    <xf numFmtId="165" fontId="24" fillId="3" borderId="0" applyAlignment="1" pivotButton="0" quotePrefix="0" xfId="0">
      <alignment horizontal="left"/>
    </xf>
    <xf numFmtId="0" fontId="15" fillId="15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168" fontId="3" fillId="11" borderId="0" applyAlignment="1" pivotButton="0" quotePrefix="0" xfId="0">
      <alignment horizontal="center"/>
    </xf>
    <xf numFmtId="168" fontId="3" fillId="6" borderId="0" applyAlignment="1" pivotButton="0" quotePrefix="0" xfId="0">
      <alignment horizontal="right"/>
    </xf>
    <xf numFmtId="174" fontId="0" fillId="6" borderId="0" applyAlignment="1" pivotButton="0" quotePrefix="0" xfId="0">
      <alignment horizontal="right"/>
    </xf>
    <xf numFmtId="0" fontId="28" fillId="6" borderId="0" applyAlignment="1" pivotButton="0" quotePrefix="0" xfId="0">
      <alignment horizontal="center"/>
    </xf>
    <xf numFmtId="165" fontId="24" fillId="6" borderId="0" applyAlignment="1" pivotButton="0" quotePrefix="0" xfId="0">
      <alignment horizontal="right"/>
    </xf>
    <xf numFmtId="168" fontId="0" fillId="7" borderId="0" applyAlignment="1" pivotButton="0" quotePrefix="0" xfId="0">
      <alignment horizontal="center"/>
    </xf>
    <xf numFmtId="168" fontId="3" fillId="7" borderId="0" applyAlignment="1" pivotButton="0" quotePrefix="0" xfId="0">
      <alignment horizontal="right"/>
    </xf>
    <xf numFmtId="174" fontId="0" fillId="7" borderId="0" applyAlignment="1" pivotButton="0" quotePrefix="0" xfId="0">
      <alignment horizontal="right"/>
    </xf>
    <xf numFmtId="0" fontId="28" fillId="7" borderId="0" applyAlignment="1" pivotButton="0" quotePrefix="0" xfId="0">
      <alignment horizontal="center"/>
    </xf>
    <xf numFmtId="165" fontId="24" fillId="7" borderId="0" applyAlignment="1" pivotButton="0" quotePrefix="0" xfId="0">
      <alignment horizontal="right"/>
    </xf>
    <xf numFmtId="0" fontId="17" fillId="6" borderId="0" applyAlignment="1" pivotButton="0" quotePrefix="0" xfId="0">
      <alignment horizontal="center"/>
    </xf>
    <xf numFmtId="0" fontId="17" fillId="7" borderId="0" applyAlignment="1" pivotButton="0" quotePrefix="0" xfId="0">
      <alignment horizontal="center"/>
    </xf>
    <xf numFmtId="9" fontId="3" fillId="6" borderId="0" applyAlignment="1" pivotButton="0" quotePrefix="0" xfId="0">
      <alignment horizontal="center"/>
    </xf>
    <xf numFmtId="168" fontId="17" fillId="6" borderId="0" applyAlignment="1" pivotButton="0" quotePrefix="0" xfId="0">
      <alignment horizontal="right"/>
    </xf>
    <xf numFmtId="175" fontId="17" fillId="6" borderId="0" applyAlignment="1" pivotButton="0" quotePrefix="0" xfId="0">
      <alignment horizontal="right"/>
    </xf>
    <xf numFmtId="0" fontId="15" fillId="16" borderId="0" applyAlignment="1" pivotButton="0" quotePrefix="0" xfId="0">
      <alignment horizontal="center"/>
    </xf>
    <xf numFmtId="168" fontId="5" fillId="6" borderId="0" applyAlignment="1" pivotButton="0" quotePrefix="0" xfId="0">
      <alignment horizontal="right"/>
    </xf>
    <xf numFmtId="1" fontId="3" fillId="6" borderId="0" applyAlignment="1" pivotButton="0" quotePrefix="0" xfId="0">
      <alignment horizontal="center"/>
    </xf>
    <xf numFmtId="1" fontId="0" fillId="6" borderId="0" applyAlignment="1" pivotButton="0" quotePrefix="0" xfId="0">
      <alignment horizontal="center"/>
    </xf>
    <xf numFmtId="1" fontId="0" fillId="7" borderId="0" applyAlignment="1" pivotButton="0" quotePrefix="0" xfId="0">
      <alignment horizontal="center"/>
    </xf>
    <xf numFmtId="1" fontId="16" fillId="2" borderId="0" applyAlignment="1" pivotButton="0" quotePrefix="0" xfId="0">
      <alignment horizontal="center"/>
    </xf>
    <xf numFmtId="0" fontId="19" fillId="17" borderId="0" pivotButton="0" quotePrefix="0" xfId="0"/>
    <xf numFmtId="0" fontId="21" fillId="5" borderId="0" pivotButton="0" quotePrefix="0" xfId="0"/>
    <xf numFmtId="0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165" fontId="0" fillId="6" borderId="0" applyAlignment="1" pivotButton="0" quotePrefix="0" xfId="0">
      <alignment horizontal="right"/>
    </xf>
    <xf numFmtId="165" fontId="0" fillId="7" borderId="0" applyAlignment="1" pivotButton="0" quotePrefix="0" xfId="0">
      <alignment horizontal="right"/>
    </xf>
    <xf numFmtId="165" fontId="16" fillId="2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applyAlignment="1" pivotButton="0" quotePrefix="0" xfId="0">
      <alignment horizontal="right"/>
    </xf>
    <xf numFmtId="166" fontId="0" fillId="6" borderId="0" applyAlignment="1" pivotButton="0" quotePrefix="0" xfId="0">
      <alignment horizontal="center"/>
    </xf>
    <xf numFmtId="165" fontId="0" fillId="7" borderId="0" applyAlignment="1" pivotButton="0" quotePrefix="0" xfId="0">
      <alignment horizontal="center"/>
    </xf>
    <xf numFmtId="167" fontId="0" fillId="7" borderId="0" applyAlignment="1" pivotButton="0" quotePrefix="0" xfId="0">
      <alignment horizontal="center"/>
    </xf>
    <xf numFmtId="165" fontId="0" fillId="6" borderId="0" applyAlignment="1" pivotButton="0" quotePrefix="0" xfId="0">
      <alignment horizontal="center"/>
    </xf>
    <xf numFmtId="167" fontId="0" fillId="6" borderId="0" applyAlignment="1" pivotButton="0" quotePrefix="0" xfId="0">
      <alignment horizontal="center"/>
    </xf>
    <xf numFmtId="166" fontId="0" fillId="7" borderId="0" applyAlignment="1" pivotButton="0" quotePrefix="0" xfId="0">
      <alignment horizontal="center"/>
    </xf>
    <xf numFmtId="168" fontId="0" fillId="6" borderId="0" applyAlignment="1" pivotButton="0" quotePrefix="0" xfId="0">
      <alignment horizontal="center"/>
    </xf>
    <xf numFmtId="169" fontId="0" fillId="6" borderId="0" applyAlignment="1" pivotButton="0" quotePrefix="0" xfId="0">
      <alignment horizontal="center"/>
    </xf>
    <xf numFmtId="170" fontId="0" fillId="7" borderId="0" applyAlignment="1" pivotButton="0" quotePrefix="0" xfId="0">
      <alignment horizontal="center"/>
    </xf>
    <xf numFmtId="164" fontId="5" fillId="10" borderId="0" pivotButton="0" quotePrefix="0" xfId="0"/>
    <xf numFmtId="168" fontId="0" fillId="6" borderId="0" applyAlignment="1" pivotButton="0" quotePrefix="0" xfId="0">
      <alignment horizontal="right"/>
    </xf>
    <xf numFmtId="169" fontId="0" fillId="7" borderId="0" applyAlignment="1" pivotButton="0" quotePrefix="0" xfId="0">
      <alignment horizontal="center"/>
    </xf>
    <xf numFmtId="168" fontId="0" fillId="7" borderId="0" applyAlignment="1" pivotButton="0" quotePrefix="0" xfId="0">
      <alignment horizontal="right"/>
    </xf>
    <xf numFmtId="169" fontId="3" fillId="9" borderId="0" applyAlignment="1" pivotButton="0" quotePrefix="0" xfId="0">
      <alignment horizontal="center"/>
    </xf>
    <xf numFmtId="165" fontId="0" fillId="9" borderId="0" applyAlignment="1" pivotButton="0" quotePrefix="0" xfId="0">
      <alignment horizontal="right"/>
    </xf>
    <xf numFmtId="168" fontId="0" fillId="9" borderId="0" applyAlignment="1" pivotButton="0" quotePrefix="0" xfId="0">
      <alignment horizontal="right"/>
    </xf>
    <xf numFmtId="169" fontId="3" fillId="8" borderId="0" applyAlignment="1" pivotButton="0" quotePrefix="0" xfId="0">
      <alignment horizontal="center"/>
    </xf>
    <xf numFmtId="165" fontId="0" fillId="8" borderId="0" applyAlignment="1" pivotButton="0" quotePrefix="0" xfId="0">
      <alignment horizontal="right"/>
    </xf>
    <xf numFmtId="168" fontId="0" fillId="8" borderId="0" applyAlignment="1" pivotButton="0" quotePrefix="0" xfId="0">
      <alignment horizontal="right"/>
    </xf>
    <xf numFmtId="171" fontId="23" fillId="0" borderId="0" pivotButton="0" quotePrefix="0" xfId="0"/>
    <xf numFmtId="168" fontId="24" fillId="11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5" fontId="5" fillId="10" borderId="0" applyAlignment="1" pivotButton="0" quotePrefix="0" xfId="0">
      <alignment horizontal="right"/>
    </xf>
    <xf numFmtId="172" fontId="5" fillId="10" borderId="0" applyAlignment="1" pivotButton="0" quotePrefix="0" xfId="0">
      <alignment horizontal="right"/>
    </xf>
    <xf numFmtId="165" fontId="3" fillId="4" borderId="0" applyAlignment="1" pivotButton="0" quotePrefix="0" xfId="0">
      <alignment horizontal="center"/>
    </xf>
    <xf numFmtId="173" fontId="0" fillId="4" borderId="0" applyAlignment="1" pivotButton="0" quotePrefix="0" xfId="0">
      <alignment horizontal="center"/>
    </xf>
    <xf numFmtId="165" fontId="3" fillId="10" borderId="0" applyAlignment="1" pivotButton="0" quotePrefix="0" xfId="0">
      <alignment horizontal="center"/>
    </xf>
    <xf numFmtId="173" fontId="0" fillId="10" borderId="0" applyAlignment="1" pivotButton="0" quotePrefix="0" xfId="0">
      <alignment horizontal="center"/>
    </xf>
    <xf numFmtId="165" fontId="3" fillId="13" borderId="0" applyAlignment="1" pivotButton="0" quotePrefix="0" xfId="0">
      <alignment horizontal="center"/>
    </xf>
    <xf numFmtId="173" fontId="0" fillId="13" borderId="0" applyAlignment="1" pivotButton="0" quotePrefix="0" xfId="0">
      <alignment horizontal="center"/>
    </xf>
    <xf numFmtId="165" fontId="3" fillId="14" borderId="0" applyAlignment="1" pivotButton="0" quotePrefix="0" xfId="0">
      <alignment horizontal="center"/>
    </xf>
    <xf numFmtId="173" fontId="0" fillId="14" borderId="0" applyAlignment="1" pivotButton="0" quotePrefix="0" xfId="0">
      <alignment horizontal="center"/>
    </xf>
    <xf numFmtId="168" fontId="3" fillId="11" borderId="0" applyAlignment="1" pivotButton="0" quotePrefix="0" xfId="0">
      <alignment horizontal="left"/>
    </xf>
    <xf numFmtId="168" fontId="3" fillId="3" borderId="0" applyAlignment="1" pivotButton="0" quotePrefix="0" xfId="0">
      <alignment horizontal="left"/>
    </xf>
    <xf numFmtId="168" fontId="5" fillId="3" borderId="0" applyAlignment="1" pivotButton="0" quotePrefix="0" xfId="0">
      <alignment horizontal="left"/>
    </xf>
    <xf numFmtId="165" fontId="24" fillId="3" borderId="0" applyAlignment="1" pivotButton="0" quotePrefix="0" xfId="0">
      <alignment horizontal="left"/>
    </xf>
    <xf numFmtId="168" fontId="3" fillId="11" borderId="0" applyAlignment="1" pivotButton="0" quotePrefix="0" xfId="0">
      <alignment horizontal="center"/>
    </xf>
    <xf numFmtId="168" fontId="5" fillId="6" borderId="0" applyAlignment="1" pivotButton="0" quotePrefix="0" xfId="0">
      <alignment horizontal="right"/>
    </xf>
    <xf numFmtId="168" fontId="3" fillId="6" borderId="0" applyAlignment="1" pivotButton="0" quotePrefix="0" xfId="0">
      <alignment horizontal="right"/>
    </xf>
    <xf numFmtId="174" fontId="0" fillId="6" borderId="0" applyAlignment="1" pivotButton="0" quotePrefix="0" xfId="0">
      <alignment horizontal="right"/>
    </xf>
    <xf numFmtId="165" fontId="24" fillId="6" borderId="0" applyAlignment="1" pivotButton="0" quotePrefix="0" xfId="0">
      <alignment horizontal="right"/>
    </xf>
    <xf numFmtId="168" fontId="17" fillId="6" borderId="0" applyAlignment="1" pivotButton="0" quotePrefix="0" xfId="0">
      <alignment horizontal="right"/>
    </xf>
    <xf numFmtId="175" fontId="17" fillId="6" borderId="0" applyAlignment="1" pivotButton="0" quotePrefix="0" xfId="0">
      <alignment horizontal="right"/>
    </xf>
    <xf numFmtId="168" fontId="0" fillId="7" borderId="0" applyAlignment="1" pivotButton="0" quotePrefix="0" xfId="0">
      <alignment horizontal="center"/>
    </xf>
    <xf numFmtId="168" fontId="3" fillId="7" borderId="0" applyAlignment="1" pivotButton="0" quotePrefix="0" xfId="0">
      <alignment horizontal="right"/>
    </xf>
    <xf numFmtId="174" fontId="0" fillId="7" borderId="0" applyAlignment="1" pivotButton="0" quotePrefix="0" xfId="0">
      <alignment horizontal="right"/>
    </xf>
    <xf numFmtId="165" fontId="24" fillId="7" borderId="0" applyAlignment="1" pivotButton="0" quotePrefix="0" xfId="0">
      <alignment horizontal="right"/>
    </xf>
    <xf numFmtId="0" fontId="29" fillId="2" borderId="2" pivotButton="0" quotePrefix="0" xfId="0"/>
    <xf numFmtId="0" fontId="30" fillId="2" borderId="2" pivotButton="0" quotePrefix="0" xfId="0"/>
    <xf numFmtId="0" fontId="30" fillId="0" borderId="2" pivotButton="0" quotePrefix="0" xfId="0"/>
    <xf numFmtId="0" fontId="31" fillId="3" borderId="2" pivotButton="0" quotePrefix="0" xfId="0"/>
    <xf numFmtId="0" fontId="30" fillId="3" borderId="2" pivotButton="0" quotePrefix="0" xfId="0"/>
    <xf numFmtId="0" fontId="32" fillId="5" borderId="3" applyAlignment="1" pivotButton="0" quotePrefix="0" xfId="0">
      <alignment horizontal="center"/>
    </xf>
    <xf numFmtId="0" fontId="32" fillId="5" borderId="2" applyAlignment="1" pivotButton="0" quotePrefix="0" xfId="0">
      <alignment horizontal="center"/>
    </xf>
    <xf numFmtId="14" fontId="30" fillId="6" borderId="2" applyAlignment="1" pivotButton="0" quotePrefix="0" xfId="0">
      <alignment horizontal="center"/>
    </xf>
    <xf numFmtId="0" fontId="30" fillId="6" borderId="2" applyAlignment="1" pivotButton="0" quotePrefix="0" xfId="0">
      <alignment horizontal="center"/>
    </xf>
    <xf numFmtId="1" fontId="30" fillId="6" borderId="2" applyAlignment="1" pivotButton="0" quotePrefix="0" xfId="0">
      <alignment horizontal="center"/>
    </xf>
    <xf numFmtId="10" fontId="30" fillId="6" borderId="2" applyAlignment="1" pivotButton="0" quotePrefix="0" xfId="0">
      <alignment horizontal="center"/>
    </xf>
    <xf numFmtId="165" fontId="30" fillId="6" borderId="2" applyAlignment="1" pivotButton="0" quotePrefix="0" xfId="0">
      <alignment horizontal="right"/>
    </xf>
    <xf numFmtId="14" fontId="30" fillId="7" borderId="2" applyAlignment="1" pivotButton="0" quotePrefix="0" xfId="0">
      <alignment horizontal="center"/>
    </xf>
    <xf numFmtId="0" fontId="30" fillId="7" borderId="2" applyAlignment="1" pivotButton="0" quotePrefix="0" xfId="0">
      <alignment horizontal="center"/>
    </xf>
    <xf numFmtId="1" fontId="30" fillId="7" borderId="2" applyAlignment="1" pivotButton="0" quotePrefix="0" xfId="0">
      <alignment horizontal="center"/>
    </xf>
    <xf numFmtId="10" fontId="30" fillId="8" borderId="2" applyAlignment="1" pivotButton="0" quotePrefix="0" xfId="0">
      <alignment horizontal="center"/>
    </xf>
    <xf numFmtId="165" fontId="30" fillId="7" borderId="2" applyAlignment="1" pivotButton="0" quotePrefix="0" xfId="0">
      <alignment horizontal="right"/>
    </xf>
    <xf numFmtId="10" fontId="30" fillId="7" borderId="2" applyAlignment="1" pivotButton="0" quotePrefix="0" xfId="0">
      <alignment horizontal="center"/>
    </xf>
    <xf numFmtId="10" fontId="30" fillId="9" borderId="2" applyAlignment="1" pivotButton="0" quotePrefix="0" xfId="0">
      <alignment horizontal="center"/>
    </xf>
    <xf numFmtId="0" fontId="33" fillId="2" borderId="2" applyAlignment="1" pivotButton="0" quotePrefix="0" xfId="0">
      <alignment horizontal="center"/>
    </xf>
    <xf numFmtId="1" fontId="33" fillId="2" borderId="2" applyAlignment="1" pivotButton="0" quotePrefix="0" xfId="0">
      <alignment horizontal="center"/>
    </xf>
    <xf numFmtId="10" fontId="33" fillId="2" borderId="2" applyAlignment="1" pivotButton="0" quotePrefix="0" xfId="0">
      <alignment horizontal="center"/>
    </xf>
    <xf numFmtId="165" fontId="33" fillId="2" borderId="2" applyAlignment="1" pivotButton="0" quotePrefix="0" xfId="0">
      <alignment horizontal="right"/>
    </xf>
    <xf numFmtId="0" fontId="34" fillId="3" borderId="2" pivotButton="0" quotePrefix="0" xfId="0"/>
    <xf numFmtId="14" fontId="30" fillId="0" borderId="2" pivotButton="0" quotePrefix="0" xfId="0"/>
    <xf numFmtId="165" fontId="30" fillId="0" borderId="2" pivotButton="0" quotePrefix="0" xfId="0"/>
    <xf numFmtId="0" fontId="35" fillId="2" borderId="2" pivotButton="0" quotePrefix="0" xfId="0"/>
    <xf numFmtId="0" fontId="36" fillId="0" borderId="2" pivotButton="0" quotePrefix="0" xfId="0"/>
    <xf numFmtId="0" fontId="37" fillId="3" borderId="2" applyAlignment="1" pivotButton="0" quotePrefix="0" xfId="0">
      <alignment horizontal="center"/>
    </xf>
    <xf numFmtId="0" fontId="37" fillId="3" borderId="2" pivotButton="0" quotePrefix="0" xfId="0"/>
    <xf numFmtId="0" fontId="37" fillId="0" borderId="2" applyAlignment="1" pivotButton="0" quotePrefix="0" xfId="0">
      <alignment horizontal="center"/>
    </xf>
    <xf numFmtId="0" fontId="38" fillId="0" borderId="2" pivotButton="0" quotePrefix="0" xfId="0"/>
    <xf numFmtId="0" fontId="39" fillId="0" borderId="2" pivotButton="0" quotePrefix="0" xfId="0"/>
    <xf numFmtId="0" fontId="40" fillId="0" borderId="2" pivotButton="0" quotePrefix="0" xfId="0"/>
    <xf numFmtId="0" fontId="41" fillId="0" borderId="2" pivotButton="0" quotePrefix="0" xfId="0"/>
    <xf numFmtId="0" fontId="42" fillId="4" borderId="2" pivotButton="0" quotePrefix="0" xfId="0"/>
    <xf numFmtId="0" fontId="30" fillId="4" borderId="2" pivotButton="0" quotePrefix="0" xfId="0"/>
    <xf numFmtId="0" fontId="37" fillId="3" borderId="2" applyAlignment="1" pivotButton="0" quotePrefix="0" xfId="0">
      <alignment horizontal="right"/>
    </xf>
    <xf numFmtId="10" fontId="30" fillId="0" borderId="2" applyAlignment="1" pivotButton="0" quotePrefix="0" xfId="0">
      <alignment horizontal="right"/>
    </xf>
    <xf numFmtId="9" fontId="30" fillId="0" borderId="2" applyAlignment="1" pivotButton="0" quotePrefix="0" xfId="0">
      <alignment horizontal="right"/>
    </xf>
    <xf numFmtId="0" fontId="43" fillId="0" borderId="2" applyAlignment="1" pivotButton="0" quotePrefix="0" xfId="0">
      <alignment horizontal="right"/>
    </xf>
    <xf numFmtId="164" fontId="30" fillId="0" borderId="2" applyAlignment="1" pivotButton="0" quotePrefix="0" xfId="0">
      <alignment horizontal="right"/>
    </xf>
    <xf numFmtId="0" fontId="37" fillId="0" borderId="2" pivotButton="0" quotePrefix="0" xfId="0"/>
    <xf numFmtId="0" fontId="44" fillId="2" borderId="2" pivotButton="0" quotePrefix="0" xfId="0"/>
    <xf numFmtId="0" fontId="33" fillId="5" borderId="2" applyAlignment="1" pivotButton="0" quotePrefix="0" xfId="0">
      <alignment horizontal="center"/>
    </xf>
    <xf numFmtId="0" fontId="37" fillId="6" borderId="2" pivotButton="0" quotePrefix="0" xfId="0"/>
    <xf numFmtId="166" fontId="30" fillId="6" borderId="2" applyAlignment="1" pivotButton="0" quotePrefix="0" xfId="0">
      <alignment horizontal="center"/>
    </xf>
    <xf numFmtId="0" fontId="45" fillId="6" borderId="2" applyAlignment="1" pivotButton="0" quotePrefix="0" xfId="0">
      <alignment horizontal="center"/>
    </xf>
    <xf numFmtId="0" fontId="46" fillId="6" borderId="2" pivotButton="0" quotePrefix="0" xfId="0"/>
    <xf numFmtId="0" fontId="37" fillId="7" borderId="2" pivotButton="0" quotePrefix="0" xfId="0"/>
    <xf numFmtId="165" fontId="30" fillId="7" borderId="2" applyAlignment="1" pivotButton="0" quotePrefix="0" xfId="0">
      <alignment horizontal="center"/>
    </xf>
    <xf numFmtId="167" fontId="30" fillId="7" borderId="2" applyAlignment="1" pivotButton="0" quotePrefix="0" xfId="0">
      <alignment horizontal="center"/>
    </xf>
    <xf numFmtId="0" fontId="45" fillId="7" borderId="2" applyAlignment="1" pivotButton="0" quotePrefix="0" xfId="0">
      <alignment horizontal="center"/>
    </xf>
    <xf numFmtId="0" fontId="46" fillId="7" borderId="2" pivotButton="0" quotePrefix="0" xfId="0"/>
    <xf numFmtId="165" fontId="30" fillId="6" borderId="2" applyAlignment="1" pivotButton="0" quotePrefix="0" xfId="0">
      <alignment horizontal="center"/>
    </xf>
    <xf numFmtId="167" fontId="30" fillId="6" borderId="2" applyAlignment="1" pivotButton="0" quotePrefix="0" xfId="0">
      <alignment horizontal="center"/>
    </xf>
    <xf numFmtId="166" fontId="30" fillId="7" borderId="2" applyAlignment="1" pivotButton="0" quotePrefix="0" xfId="0">
      <alignment horizontal="center"/>
    </xf>
    <xf numFmtId="168" fontId="30" fillId="6" borderId="2" applyAlignment="1" pivotButton="0" quotePrefix="0" xfId="0">
      <alignment horizontal="center"/>
    </xf>
    <xf numFmtId="0" fontId="47" fillId="7" borderId="2" applyAlignment="1" pivotButton="0" quotePrefix="0" xfId="0">
      <alignment horizontal="center"/>
    </xf>
    <xf numFmtId="169" fontId="30" fillId="6" borderId="2" applyAlignment="1" pivotButton="0" quotePrefix="0" xfId="0">
      <alignment horizontal="center"/>
    </xf>
    <xf numFmtId="0" fontId="48" fillId="6" borderId="2" applyAlignment="1" pivotButton="0" quotePrefix="0" xfId="0">
      <alignment horizontal="center"/>
    </xf>
    <xf numFmtId="170" fontId="30" fillId="7" borderId="2" applyAlignment="1" pivotButton="0" quotePrefix="0" xfId="0">
      <alignment horizontal="center"/>
    </xf>
    <xf numFmtId="0" fontId="49" fillId="2" borderId="2" pivotButton="0" quotePrefix="0" xfId="0"/>
    <xf numFmtId="0" fontId="43" fillId="0" borderId="2" pivotButton="0" quotePrefix="0" xfId="0"/>
    <xf numFmtId="10" fontId="43" fillId="0" borderId="2" pivotButton="0" quotePrefix="0" xfId="0"/>
    <xf numFmtId="0" fontId="50" fillId="0" borderId="2" pivotButton="0" quotePrefix="0" xfId="0"/>
    <xf numFmtId="10" fontId="50" fillId="0" borderId="2" pivotButton="0" quotePrefix="0" xfId="0"/>
    <xf numFmtId="0" fontId="51" fillId="0" borderId="2" pivotButton="0" quotePrefix="0" xfId="0"/>
    <xf numFmtId="10" fontId="38" fillId="0" borderId="2" pivotButton="0" quotePrefix="0" xfId="0"/>
    <xf numFmtId="0" fontId="37" fillId="10" borderId="2" pivotButton="0" quotePrefix="0" xfId="0"/>
    <xf numFmtId="164" fontId="38" fillId="10" borderId="2" pivotButton="0" quotePrefix="0" xfId="0"/>
    <xf numFmtId="0" fontId="30" fillId="10" borderId="2" pivotButton="0" quotePrefix="0" xfId="0"/>
    <xf numFmtId="0" fontId="37" fillId="6" borderId="2" applyAlignment="1" pivotButton="0" quotePrefix="0" xfId="0">
      <alignment horizontal="center"/>
    </xf>
    <xf numFmtId="168" fontId="30" fillId="6" borderId="2" applyAlignment="1" pivotButton="0" quotePrefix="0" xfId="0">
      <alignment horizontal="right"/>
    </xf>
    <xf numFmtId="0" fontId="37" fillId="7" borderId="2" applyAlignment="1" pivotButton="0" quotePrefix="0" xfId="0">
      <alignment horizontal="center"/>
    </xf>
    <xf numFmtId="169" fontId="30" fillId="7" borderId="2" applyAlignment="1" pivotButton="0" quotePrefix="0" xfId="0">
      <alignment horizontal="center"/>
    </xf>
    <xf numFmtId="168" fontId="30" fillId="7" borderId="2" applyAlignment="1" pivotButton="0" quotePrefix="0" xfId="0">
      <alignment horizontal="right"/>
    </xf>
    <xf numFmtId="0" fontId="37" fillId="9" borderId="2" applyAlignment="1" pivotButton="0" quotePrefix="0" xfId="0">
      <alignment horizontal="center"/>
    </xf>
    <xf numFmtId="169" fontId="37" fillId="9" borderId="2" applyAlignment="1" pivotButton="0" quotePrefix="0" xfId="0">
      <alignment horizontal="center"/>
    </xf>
    <xf numFmtId="165" fontId="30" fillId="9" borderId="2" applyAlignment="1" pivotButton="0" quotePrefix="0" xfId="0">
      <alignment horizontal="right"/>
    </xf>
    <xf numFmtId="168" fontId="30" fillId="9" borderId="2" applyAlignment="1" pivotButton="0" quotePrefix="0" xfId="0">
      <alignment horizontal="right"/>
    </xf>
    <xf numFmtId="0" fontId="34" fillId="9" borderId="2" pivotButton="0" quotePrefix="0" xfId="0"/>
    <xf numFmtId="0" fontId="37" fillId="8" borderId="2" applyAlignment="1" pivotButton="0" quotePrefix="0" xfId="0">
      <alignment horizontal="center"/>
    </xf>
    <xf numFmtId="169" fontId="37" fillId="8" borderId="2" applyAlignment="1" pivotButton="0" quotePrefix="0" xfId="0">
      <alignment horizontal="center"/>
    </xf>
    <xf numFmtId="165" fontId="30" fillId="8" borderId="2" applyAlignment="1" pivotButton="0" quotePrefix="0" xfId="0">
      <alignment horizontal="right"/>
    </xf>
    <xf numFmtId="168" fontId="30" fillId="8" borderId="2" applyAlignment="1" pivotButton="0" quotePrefix="0" xfId="0">
      <alignment horizontal="right"/>
    </xf>
    <xf numFmtId="0" fontId="34" fillId="8" borderId="2" pivotButton="0" quotePrefix="0" xfId="0"/>
    <xf numFmtId="0" fontId="37" fillId="4" borderId="2" pivotButton="0" quotePrefix="0" xfId="0"/>
    <xf numFmtId="171" fontId="52" fillId="0" borderId="2" pivotButton="0" quotePrefix="0" xfId="0"/>
    <xf numFmtId="168" fontId="53" fillId="11" borderId="2" applyAlignment="1" pivotButton="0" quotePrefix="0" xfId="0">
      <alignment horizontal="right"/>
    </xf>
    <xf numFmtId="165" fontId="30" fillId="0" borderId="2" applyAlignment="1" pivotButton="0" quotePrefix="0" xfId="0">
      <alignment horizontal="right"/>
    </xf>
    <xf numFmtId="0" fontId="30" fillId="0" borderId="2" applyAlignment="1" pivotButton="0" quotePrefix="0" xfId="0">
      <alignment horizontal="right"/>
    </xf>
    <xf numFmtId="0" fontId="38" fillId="0" borderId="2" applyAlignment="1" pivotButton="0" quotePrefix="0" xfId="0">
      <alignment horizontal="right"/>
    </xf>
    <xf numFmtId="165" fontId="38" fillId="10" borderId="2" applyAlignment="1" pivotButton="0" quotePrefix="0" xfId="0">
      <alignment horizontal="right"/>
    </xf>
    <xf numFmtId="172" fontId="38" fillId="10" borderId="2" applyAlignment="1" pivotButton="0" quotePrefix="0" xfId="0">
      <alignment horizontal="right"/>
    </xf>
    <xf numFmtId="0" fontId="33" fillId="5" borderId="2" pivotButton="0" quotePrefix="0" xfId="0"/>
    <xf numFmtId="0" fontId="30" fillId="5" borderId="2" pivotButton="0" quotePrefix="0" xfId="0"/>
    <xf numFmtId="0" fontId="32" fillId="12" borderId="2" applyAlignment="1" pivotButton="0" quotePrefix="0" xfId="0">
      <alignment horizontal="center"/>
    </xf>
    <xf numFmtId="0" fontId="37" fillId="4" borderId="2" applyAlignment="1" pivotButton="0" quotePrefix="0" xfId="0">
      <alignment horizontal="center"/>
    </xf>
    <xf numFmtId="0" fontId="46" fillId="4" borderId="2" pivotButton="0" quotePrefix="0" xfId="0"/>
    <xf numFmtId="165" fontId="37" fillId="4" borderId="2" applyAlignment="1" pivotButton="0" quotePrefix="0" xfId="0">
      <alignment horizontal="center"/>
    </xf>
    <xf numFmtId="173" fontId="30" fillId="4" borderId="2" applyAlignment="1" pivotButton="0" quotePrefix="0" xfId="0">
      <alignment horizontal="center"/>
    </xf>
    <xf numFmtId="0" fontId="30" fillId="4" borderId="2" applyAlignment="1" pivotButton="0" quotePrefix="0" xfId="0">
      <alignment horizontal="center"/>
    </xf>
    <xf numFmtId="0" fontId="43" fillId="4" borderId="2" applyAlignment="1" pivotButton="0" quotePrefix="0" xfId="0">
      <alignment horizontal="center"/>
    </xf>
    <xf numFmtId="0" fontId="37" fillId="10" borderId="2" applyAlignment="1" pivotButton="0" quotePrefix="0" xfId="0">
      <alignment horizontal="center"/>
    </xf>
    <xf numFmtId="0" fontId="46" fillId="10" borderId="2" pivotButton="0" quotePrefix="0" xfId="0"/>
    <xf numFmtId="165" fontId="37" fillId="10" borderId="2" applyAlignment="1" pivotButton="0" quotePrefix="0" xfId="0">
      <alignment horizontal="center"/>
    </xf>
    <xf numFmtId="173" fontId="30" fillId="10" borderId="2" applyAlignment="1" pivotButton="0" quotePrefix="0" xfId="0">
      <alignment horizontal="center"/>
    </xf>
    <xf numFmtId="0" fontId="30" fillId="10" borderId="2" applyAlignment="1" pivotButton="0" quotePrefix="0" xfId="0">
      <alignment horizontal="center"/>
    </xf>
    <xf numFmtId="0" fontId="50" fillId="10" borderId="2" applyAlignment="1" pivotButton="0" quotePrefix="0" xfId="0">
      <alignment horizontal="center"/>
    </xf>
    <xf numFmtId="0" fontId="37" fillId="13" borderId="2" applyAlignment="1" pivotButton="0" quotePrefix="0" xfId="0">
      <alignment horizontal="center"/>
    </xf>
    <xf numFmtId="0" fontId="46" fillId="13" borderId="2" pivotButton="0" quotePrefix="0" xfId="0"/>
    <xf numFmtId="165" fontId="37" fillId="13" borderId="2" applyAlignment="1" pivotButton="0" quotePrefix="0" xfId="0">
      <alignment horizontal="center"/>
    </xf>
    <xf numFmtId="173" fontId="30" fillId="13" borderId="2" applyAlignment="1" pivotButton="0" quotePrefix="0" xfId="0">
      <alignment horizontal="center"/>
    </xf>
    <xf numFmtId="0" fontId="30" fillId="13" borderId="2" applyAlignment="1" pivotButton="0" quotePrefix="0" xfId="0">
      <alignment horizontal="center"/>
    </xf>
    <xf numFmtId="0" fontId="43" fillId="13" borderId="2" applyAlignment="1" pivotButton="0" quotePrefix="0" xfId="0">
      <alignment horizontal="center"/>
    </xf>
    <xf numFmtId="0" fontId="37" fillId="14" borderId="2" applyAlignment="1" pivotButton="0" quotePrefix="0" xfId="0">
      <alignment horizontal="center"/>
    </xf>
    <xf numFmtId="0" fontId="46" fillId="14" borderId="2" pivotButton="0" quotePrefix="0" xfId="0"/>
    <xf numFmtId="165" fontId="37" fillId="14" borderId="2" applyAlignment="1" pivotButton="0" quotePrefix="0" xfId="0">
      <alignment horizontal="center"/>
    </xf>
    <xf numFmtId="173" fontId="30" fillId="14" borderId="2" applyAlignment="1" pivotButton="0" quotePrefix="0" xfId="0">
      <alignment horizontal="center"/>
    </xf>
    <xf numFmtId="0" fontId="30" fillId="14" borderId="2" applyAlignment="1" pivotButton="0" quotePrefix="0" xfId="0">
      <alignment horizontal="center"/>
    </xf>
    <xf numFmtId="0" fontId="43" fillId="14" borderId="2" applyAlignment="1" pivotButton="0" quotePrefix="0" xfId="0">
      <alignment horizontal="center"/>
    </xf>
    <xf numFmtId="0" fontId="33" fillId="15" borderId="2" pivotButton="0" quotePrefix="0" xfId="0"/>
    <xf numFmtId="0" fontId="30" fillId="15" borderId="2" pivotButton="0" quotePrefix="0" xfId="0"/>
    <xf numFmtId="0" fontId="54" fillId="3" borderId="2" pivotButton="0" quotePrefix="0" xfId="0"/>
    <xf numFmtId="0" fontId="34" fillId="0" borderId="2" pivotButton="0" quotePrefix="0" xfId="0"/>
    <xf numFmtId="0" fontId="55" fillId="0" borderId="2" pivotButton="0" quotePrefix="0" xfId="0"/>
    <xf numFmtId="0" fontId="29" fillId="15" borderId="2" pivotButton="0" quotePrefix="0" xfId="0"/>
    <xf numFmtId="0" fontId="56" fillId="4" borderId="2" pivotButton="0" quotePrefix="0" xfId="0"/>
    <xf numFmtId="0" fontId="30" fillId="3" borderId="2" applyAlignment="1" pivotButton="0" quotePrefix="0" xfId="0">
      <alignment horizontal="right"/>
    </xf>
    <xf numFmtId="168" fontId="37" fillId="11" borderId="2" applyAlignment="1" pivotButton="0" quotePrefix="0" xfId="0">
      <alignment horizontal="left"/>
    </xf>
    <xf numFmtId="168" fontId="37" fillId="3" borderId="2" applyAlignment="1" pivotButton="0" quotePrefix="0" xfId="0">
      <alignment horizontal="left"/>
    </xf>
    <xf numFmtId="168" fontId="38" fillId="3" borderId="2" applyAlignment="1" pivotButton="0" quotePrefix="0" xfId="0">
      <alignment horizontal="left"/>
    </xf>
    <xf numFmtId="0" fontId="37" fillId="3" borderId="2" applyAlignment="1" pivotButton="0" quotePrefix="0" xfId="0">
      <alignment horizontal="left"/>
    </xf>
    <xf numFmtId="165" fontId="53" fillId="3" borderId="2" applyAlignment="1" pivotButton="0" quotePrefix="0" xfId="0">
      <alignment horizontal="left"/>
    </xf>
    <xf numFmtId="0" fontId="32" fillId="15" borderId="2" applyAlignment="1" pivotButton="0" quotePrefix="0" xfId="0">
      <alignment horizontal="center"/>
    </xf>
    <xf numFmtId="0" fontId="32" fillId="16" borderId="2" applyAlignment="1" pivotButton="0" quotePrefix="0" xfId="0">
      <alignment horizontal="center"/>
    </xf>
    <xf numFmtId="0" fontId="37" fillId="11" borderId="2" applyAlignment="1" pivotButton="0" quotePrefix="0" xfId="0">
      <alignment horizontal="center"/>
    </xf>
    <xf numFmtId="168" fontId="37" fillId="11" borderId="2" applyAlignment="1" pivotButton="0" quotePrefix="0" xfId="0">
      <alignment horizontal="center"/>
    </xf>
    <xf numFmtId="9" fontId="37" fillId="6" borderId="2" applyAlignment="1" pivotButton="0" quotePrefix="0" xfId="0">
      <alignment horizontal="center"/>
    </xf>
    <xf numFmtId="1" fontId="37" fillId="6" borderId="2" applyAlignment="1" pivotButton="0" quotePrefix="0" xfId="0">
      <alignment horizontal="center"/>
    </xf>
    <xf numFmtId="168" fontId="38" fillId="6" borderId="2" applyAlignment="1" pivotButton="0" quotePrefix="0" xfId="0">
      <alignment horizontal="right"/>
    </xf>
    <xf numFmtId="168" fontId="37" fillId="6" borderId="2" applyAlignment="1" pivotButton="0" quotePrefix="0" xfId="0">
      <alignment horizontal="right"/>
    </xf>
    <xf numFmtId="174" fontId="30" fillId="6" borderId="2" applyAlignment="1" pivotButton="0" quotePrefix="0" xfId="0">
      <alignment horizontal="right"/>
    </xf>
    <xf numFmtId="0" fontId="57" fillId="6" borderId="2" applyAlignment="1" pivotButton="0" quotePrefix="0" xfId="0">
      <alignment horizontal="center"/>
    </xf>
    <xf numFmtId="165" fontId="53" fillId="6" borderId="2" applyAlignment="1" pivotButton="0" quotePrefix="0" xfId="0">
      <alignment horizontal="right"/>
    </xf>
    <xf numFmtId="0" fontId="46" fillId="6" borderId="2" applyAlignment="1" pivotButton="0" quotePrefix="0" xfId="0">
      <alignment horizontal="center"/>
    </xf>
    <xf numFmtId="168" fontId="46" fillId="6" borderId="2" applyAlignment="1" pivotButton="0" quotePrefix="0" xfId="0">
      <alignment horizontal="right"/>
    </xf>
    <xf numFmtId="175" fontId="46" fillId="6" borderId="2" applyAlignment="1" pivotButton="0" quotePrefix="0" xfId="0">
      <alignment horizontal="right"/>
    </xf>
    <xf numFmtId="0" fontId="38" fillId="6" borderId="2" applyAlignment="1" pivotButton="0" quotePrefix="0" xfId="0">
      <alignment horizontal="center"/>
    </xf>
    <xf numFmtId="168" fontId="30" fillId="7" borderId="2" applyAlignment="1" pivotButton="0" quotePrefix="0" xfId="0">
      <alignment horizontal="center"/>
    </xf>
    <xf numFmtId="168" fontId="37" fillId="7" borderId="2" applyAlignment="1" pivotButton="0" quotePrefix="0" xfId="0">
      <alignment horizontal="right"/>
    </xf>
    <xf numFmtId="174" fontId="30" fillId="7" borderId="2" applyAlignment="1" pivotButton="0" quotePrefix="0" xfId="0">
      <alignment horizontal="right"/>
    </xf>
    <xf numFmtId="0" fontId="57" fillId="7" borderId="2" applyAlignment="1" pivotButton="0" quotePrefix="0" xfId="0">
      <alignment horizontal="center"/>
    </xf>
    <xf numFmtId="165" fontId="53" fillId="7" borderId="2" applyAlignment="1" pivotButton="0" quotePrefix="0" xfId="0">
      <alignment horizontal="right"/>
    </xf>
    <xf numFmtId="0" fontId="46" fillId="7" borderId="2" applyAlignment="1" pivotButton="0" quotePrefix="0" xfId="0">
      <alignment horizontal="center"/>
    </xf>
    <xf numFmtId="0" fontId="38" fillId="7" borderId="2" applyAlignment="1" pivotButton="0" quotePrefix="0" xfId="0">
      <alignment horizontal="center"/>
    </xf>
    <xf numFmtId="0" fontId="44" fillId="17" borderId="2" pivotButton="0" quotePrefix="0" xfId="0"/>
    <xf numFmtId="0" fontId="49" fillId="5" borderId="2" pivotButton="0" quotePrefix="0" xfId="0"/>
    <xf numFmtId="0" fontId="58" fillId="0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0" fontId="6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9" fontId="30" fillId="6" borderId="2" applyAlignment="1" pivotButton="0" quotePrefix="0" xfId="0">
      <alignment horizontal="center"/>
    </xf>
    <xf numFmtId="176" fontId="30" fillId="6" borderId="2" applyAlignment="1" pivotButton="0" quotePrefix="0" xfId="0">
      <alignment horizontal="right"/>
    </xf>
    <xf numFmtId="9" fontId="30" fillId="7" borderId="2" applyAlignment="1" pivotButton="0" quotePrefix="0" xfId="0">
      <alignment horizontal="center"/>
    </xf>
    <xf numFmtId="176" fontId="30" fillId="7" borderId="2" applyAlignment="1" pivotButton="0" quotePrefix="0" xfId="0">
      <alignment horizontal="right"/>
    </xf>
    <xf numFmtId="176" fontId="33" fillId="2" borderId="2" applyAlignment="1" pivotButton="0" quotePrefix="0" xfId="0">
      <alignment horizontal="right"/>
    </xf>
    <xf numFmtId="10" fontId="30" fillId="18" borderId="2" applyAlignment="1" pivotButton="0" quotePrefix="0" xfId="0">
      <alignment horizontal="center"/>
    </xf>
    <xf numFmtId="166" fontId="30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165" fontId="30" fillId="18" borderId="2" applyAlignment="1" pivotButton="0" quotePrefix="0" xfId="0">
      <alignment horizontal="center"/>
    </xf>
    <xf numFmtId="167" fontId="30" fillId="18" borderId="2" applyAlignment="1" pivotButton="0" quotePrefix="0" xfId="0">
      <alignment horizontal="center"/>
    </xf>
    <xf numFmtId="168" fontId="30" fillId="18" borderId="2" applyAlignment="1" pivotButton="0" quotePrefix="0" xfId="0">
      <alignment horizontal="center"/>
    </xf>
    <xf numFmtId="0" fontId="30" fillId="18" borderId="2" applyAlignment="1" pivotButton="0" quotePrefix="0" xfId="0">
      <alignment horizontal="center"/>
    </xf>
    <xf numFmtId="169" fontId="30" fillId="18" borderId="2" applyAlignment="1" pivotButton="0" quotePrefix="0" xfId="0">
      <alignment horizontal="center"/>
    </xf>
    <xf numFmtId="170" fontId="30" fillId="18" borderId="2" applyAlignment="1" pivotButton="0" quotePrefix="0" xfId="0">
      <alignment horizontal="center"/>
    </xf>
    <xf numFmtId="0" fontId="37" fillId="18" borderId="2" pivotButton="0" quotePrefix="0" xfId="0"/>
    <xf numFmtId="10" fontId="43" fillId="18" borderId="2" pivotButton="0" quotePrefix="0" xfId="0"/>
    <xf numFmtId="10" fontId="50" fillId="18" borderId="2" pivotButton="0" quotePrefix="0" xfId="0"/>
    <xf numFmtId="10" fontId="38" fillId="18" borderId="2" pivotButton="0" quotePrefix="0" xfId="0"/>
    <xf numFmtId="165" fontId="30" fillId="18" borderId="2" applyAlignment="1" pivotButton="0" quotePrefix="0" xfId="0">
      <alignment horizontal="right"/>
    </xf>
    <xf numFmtId="0" fontId="30" fillId="18" borderId="2" applyAlignment="1" pivotButton="0" quotePrefix="0" xfId="0">
      <alignment horizontal="right"/>
    </xf>
    <xf numFmtId="10" fontId="30" fillId="18" borderId="2" applyAlignment="1" pivotButton="0" quotePrefix="0" xfId="0">
      <alignment horizontal="right"/>
    </xf>
    <xf numFmtId="0" fontId="38" fillId="18" borderId="2" applyAlignment="1" pivotButton="0" quotePrefix="0" xfId="0">
      <alignment horizontal="right"/>
    </xf>
    <xf numFmtId="165" fontId="38" fillId="18" borderId="2" applyAlignment="1" pivotButton="0" quotePrefix="0" xfId="0">
      <alignment horizontal="right"/>
    </xf>
    <xf numFmtId="172" fontId="38" fillId="18" borderId="2" applyAlignment="1" pivotButton="0" quotePrefix="0" xfId="0">
      <alignment horizontal="right"/>
    </xf>
    <xf numFmtId="165" fontId="37" fillId="18" borderId="2" applyAlignment="1" pivotButton="0" quotePrefix="0" xfId="0">
      <alignment horizontal="center"/>
    </xf>
    <xf numFmtId="173" fontId="30" fillId="18" borderId="2" applyAlignment="1" pivotButton="0" quotePrefix="0" xfId="0">
      <alignment horizontal="center"/>
    </xf>
    <xf numFmtId="168" fontId="37" fillId="18" borderId="2" applyAlignment="1" pivotButton="0" quotePrefix="0" xfId="0">
      <alignment horizontal="left"/>
    </xf>
    <xf numFmtId="168" fontId="38" fillId="18" borderId="2" applyAlignment="1" pivotButton="0" quotePrefix="0" xfId="0">
      <alignment horizontal="left"/>
    </xf>
    <xf numFmtId="0" fontId="37" fillId="18" borderId="2" applyAlignment="1" pivotButton="0" quotePrefix="0" xfId="0">
      <alignment horizontal="left"/>
    </xf>
    <xf numFmtId="165" fontId="53" fillId="18" borderId="2" applyAlignment="1" pivotButton="0" quotePrefix="0" xfId="0">
      <alignment horizontal="left"/>
    </xf>
    <xf numFmtId="14" fontId="30" fillId="18" borderId="2" applyAlignment="1" pivotButton="0" quotePrefix="0" xfId="0">
      <alignment horizontal="center"/>
    </xf>
    <xf numFmtId="168" fontId="30" fillId="18" borderId="2" applyAlignment="1" pivotButton="0" quotePrefix="0" xfId="0">
      <alignment horizontal="right"/>
    </xf>
    <xf numFmtId="9" fontId="37" fillId="18" borderId="2" applyAlignment="1" pivotButton="0" quotePrefix="0" xfId="0">
      <alignment horizontal="center"/>
    </xf>
    <xf numFmtId="1" fontId="37" fillId="18" borderId="2" applyAlignment="1" pivotButton="0" quotePrefix="0" xfId="0">
      <alignment horizontal="center"/>
    </xf>
    <xf numFmtId="168" fontId="38" fillId="18" borderId="2" applyAlignment="1" pivotButton="0" quotePrefix="0" xfId="0">
      <alignment horizontal="right"/>
    </xf>
    <xf numFmtId="168" fontId="37" fillId="18" borderId="2" applyAlignment="1" pivotButton="0" quotePrefix="0" xfId="0">
      <alignment horizontal="right"/>
    </xf>
    <xf numFmtId="174" fontId="30" fillId="18" borderId="2" applyAlignment="1" pivotButton="0" quotePrefix="0" xfId="0">
      <alignment horizontal="right"/>
    </xf>
    <xf numFmtId="0" fontId="57" fillId="18" borderId="2" applyAlignment="1" pivotButton="0" quotePrefix="0" xfId="0">
      <alignment horizontal="center"/>
    </xf>
    <xf numFmtId="165" fontId="53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168" fontId="46" fillId="18" borderId="2" applyAlignment="1" pivotButton="0" quotePrefix="0" xfId="0">
      <alignment horizontal="right"/>
    </xf>
    <xf numFmtId="175" fontId="46" fillId="18" borderId="2" applyAlignment="1" pivotButton="0" quotePrefix="0" xfId="0">
      <alignment horizontal="right"/>
    </xf>
    <xf numFmtId="0" fontId="38" fillId="18" borderId="2" applyAlignment="1" pivotButton="0" quotePrefix="0" xfId="0">
      <alignment horizontal="center"/>
    </xf>
    <xf numFmtId="0" fontId="63" fillId="0" borderId="0" pivotButton="0" quotePrefix="0" xfId="0"/>
    <xf numFmtId="9" fontId="63" fillId="0" borderId="0" pivotButton="0" quotePrefix="0" xfId="0"/>
    <xf numFmtId="176" fontId="63" fillId="0" borderId="0" pivotButton="0" quotePrefix="0" xfId="0"/>
    <xf numFmtId="0" fontId="64" fillId="20" borderId="4" applyAlignment="1" pivotButton="0" quotePrefix="0" xfId="0">
      <alignment horizontal="center"/>
    </xf>
    <xf numFmtId="0" fontId="30" fillId="0" borderId="4" pivotButton="0" quotePrefix="0" xfId="0"/>
    <xf numFmtId="14" fontId="30" fillId="6" borderId="4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9" fontId="30" fillId="6" borderId="4" applyAlignment="1" pivotButton="0" quotePrefix="0" xfId="0">
      <alignment horizontal="center"/>
    </xf>
    <xf numFmtId="1" fontId="30" fillId="6" borderId="4" applyAlignment="1" pivotButton="0" quotePrefix="0" xfId="0">
      <alignment horizontal="center"/>
    </xf>
    <xf numFmtId="10" fontId="30" fillId="6" borderId="4" applyAlignment="1" pivotButton="0" quotePrefix="0" xfId="0">
      <alignment horizontal="center"/>
    </xf>
    <xf numFmtId="176" fontId="30" fillId="6" borderId="4" applyAlignment="1" pivotButton="0" quotePrefix="0" xfId="0">
      <alignment horizontal="right"/>
    </xf>
    <xf numFmtId="165" fontId="30" fillId="6" borderId="4" applyAlignment="1" pivotButton="0" quotePrefix="0" xfId="0">
      <alignment horizontal="right"/>
    </xf>
    <xf numFmtId="14" fontId="30" fillId="7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9" fontId="30" fillId="7" borderId="4" applyAlignment="1" pivotButton="0" quotePrefix="0" xfId="0">
      <alignment horizontal="center"/>
    </xf>
    <xf numFmtId="1" fontId="30" fillId="7" borderId="4" applyAlignment="1" pivotButton="0" quotePrefix="0" xfId="0">
      <alignment horizontal="center"/>
    </xf>
    <xf numFmtId="10" fontId="30" fillId="8" borderId="4" applyAlignment="1" pivotButton="0" quotePrefix="0" xfId="0">
      <alignment horizontal="center"/>
    </xf>
    <xf numFmtId="176" fontId="30" fillId="7" borderId="4" applyAlignment="1" pivotButton="0" quotePrefix="0" xfId="0">
      <alignment horizontal="right"/>
    </xf>
    <xf numFmtId="165" fontId="30" fillId="7" borderId="4" applyAlignment="1" pivotButton="0" quotePrefix="0" xfId="0">
      <alignment horizontal="right"/>
    </xf>
    <xf numFmtId="10" fontId="30" fillId="7" borderId="4" applyAlignment="1" pivotButton="0" quotePrefix="0" xfId="0">
      <alignment horizontal="center"/>
    </xf>
    <xf numFmtId="10" fontId="30" fillId="9" borderId="4" applyAlignment="1" pivotButton="0" quotePrefix="0" xfId="0">
      <alignment horizontal="center"/>
    </xf>
    <xf numFmtId="0" fontId="33" fillId="2" borderId="4" applyAlignment="1" pivotButton="0" quotePrefix="0" xfId="0">
      <alignment horizontal="center"/>
    </xf>
    <xf numFmtId="1" fontId="33" fillId="2" borderId="4" applyAlignment="1" pivotButton="0" quotePrefix="0" xfId="0">
      <alignment horizontal="center"/>
    </xf>
    <xf numFmtId="10" fontId="33" fillId="2" borderId="4" applyAlignment="1" pivotButton="0" quotePrefix="0" xfId="0">
      <alignment horizontal="center"/>
    </xf>
    <xf numFmtId="176" fontId="33" fillId="2" borderId="4" applyAlignment="1" pivotButton="0" quotePrefix="0" xfId="0">
      <alignment horizontal="right"/>
    </xf>
    <xf numFmtId="165" fontId="33" fillId="2" borderId="4" applyAlignment="1" pivotButton="0" quotePrefix="0" xfId="0">
      <alignment horizontal="right"/>
    </xf>
    <xf numFmtId="0" fontId="37" fillId="19" borderId="2" pivotButton="0" quotePrefix="0" xfId="0"/>
    <xf numFmtId="0" fontId="30" fillId="19" borderId="2" applyAlignment="1" pivotButton="0" quotePrefix="0" xfId="0">
      <alignment horizontal="center"/>
    </xf>
    <xf numFmtId="10" fontId="30" fillId="19" borderId="2" applyAlignment="1" pivotButton="0" quotePrefix="0" xfId="0">
      <alignment horizontal="center"/>
    </xf>
    <xf numFmtId="166" fontId="30" fillId="19" borderId="2" applyAlignment="1" pivotButton="0" quotePrefix="0" xfId="0">
      <alignment horizontal="center"/>
    </xf>
    <xf numFmtId="0" fontId="45" fillId="19" borderId="2" applyAlignment="1" pivotButton="0" quotePrefix="0" xfId="0">
      <alignment horizontal="center"/>
    </xf>
    <xf numFmtId="0" fontId="46" fillId="19" borderId="2" pivotButton="0" quotePrefix="0" xfId="0"/>
    <xf numFmtId="165" fontId="30" fillId="19" borderId="2" applyAlignment="1" pivotButton="0" quotePrefix="0" xfId="0">
      <alignment horizontal="center"/>
    </xf>
    <xf numFmtId="167" fontId="30" fillId="19" borderId="2" applyAlignment="1" pivotButton="0" quotePrefix="0" xfId="0">
      <alignment horizontal="center"/>
    </xf>
    <xf numFmtId="168" fontId="30" fillId="19" borderId="2" applyAlignment="1" pivotButton="0" quotePrefix="0" xfId="0">
      <alignment horizontal="center"/>
    </xf>
    <xf numFmtId="0" fontId="47" fillId="19" borderId="2" applyAlignment="1" pivotButton="0" quotePrefix="0" xfId="0">
      <alignment horizontal="center"/>
    </xf>
    <xf numFmtId="169" fontId="30" fillId="19" borderId="2" applyAlignment="1" pivotButton="0" quotePrefix="0" xfId="0">
      <alignment horizontal="center"/>
    </xf>
    <xf numFmtId="0" fontId="48" fillId="19" borderId="2" applyAlignment="1" pivotButton="0" quotePrefix="0" xfId="0">
      <alignment horizontal="center"/>
    </xf>
    <xf numFmtId="170" fontId="30" fillId="19" borderId="2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14" fontId="30" fillId="18" borderId="4" applyAlignment="1" pivotButton="0" quotePrefix="0" xfId="0">
      <alignment horizontal="center"/>
    </xf>
    <xf numFmtId="0" fontId="37" fillId="11" borderId="4" applyAlignment="1" pivotButton="0" quotePrefix="0" xfId="0">
      <alignment horizontal="center"/>
    </xf>
    <xf numFmtId="168" fontId="30" fillId="6" borderId="4" applyAlignment="1" pivotButton="0" quotePrefix="0" xfId="0">
      <alignment horizontal="center"/>
    </xf>
    <xf numFmtId="168" fontId="37" fillId="11" borderId="4" applyAlignment="1" pivotButton="0" quotePrefix="0" xfId="0">
      <alignment horizontal="center"/>
    </xf>
    <xf numFmtId="168" fontId="30" fillId="18" borderId="4" applyAlignment="1" pivotButton="0" quotePrefix="0" xfId="0">
      <alignment horizontal="right"/>
    </xf>
    <xf numFmtId="9" fontId="37" fillId="18" borderId="4" applyAlignment="1" pivotButton="0" quotePrefix="0" xfId="0">
      <alignment horizontal="center"/>
    </xf>
    <xf numFmtId="1" fontId="37" fillId="18" borderId="4" applyAlignment="1" pivotButton="0" quotePrefix="0" xfId="0">
      <alignment horizontal="center"/>
    </xf>
    <xf numFmtId="168" fontId="38" fillId="18" borderId="4" applyAlignment="1" pivotButton="0" quotePrefix="0" xfId="0">
      <alignment horizontal="right"/>
    </xf>
    <xf numFmtId="168" fontId="37" fillId="18" borderId="4" applyAlignment="1" pivotButton="0" quotePrefix="0" xfId="0">
      <alignment horizontal="right"/>
    </xf>
    <xf numFmtId="174" fontId="30" fillId="18" borderId="4" applyAlignment="1" pivotButton="0" quotePrefix="0" xfId="0">
      <alignment horizontal="right"/>
    </xf>
    <xf numFmtId="0" fontId="57" fillId="18" borderId="4" applyAlignment="1" pivotButton="0" quotePrefix="0" xfId="0">
      <alignment horizontal="center"/>
    </xf>
    <xf numFmtId="0" fontId="30" fillId="18" borderId="4" applyAlignment="1" pivotButton="0" quotePrefix="0" xfId="0">
      <alignment horizontal="center"/>
    </xf>
    <xf numFmtId="165" fontId="53" fillId="18" borderId="4" applyAlignment="1" pivotButton="0" quotePrefix="0" xfId="0">
      <alignment horizontal="right"/>
    </xf>
    <xf numFmtId="0" fontId="46" fillId="18" borderId="4" applyAlignment="1" pivotButton="0" quotePrefix="0" xfId="0">
      <alignment horizontal="center"/>
    </xf>
    <xf numFmtId="168" fontId="46" fillId="18" borderId="4" applyAlignment="1" pivotButton="0" quotePrefix="0" xfId="0">
      <alignment horizontal="right"/>
    </xf>
    <xf numFmtId="175" fontId="46" fillId="18" borderId="4" applyAlignment="1" pivotButton="0" quotePrefix="0" xfId="0">
      <alignment horizontal="right"/>
    </xf>
    <xf numFmtId="0" fontId="38" fillId="18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168" fontId="30" fillId="7" borderId="4" applyAlignment="1" pivotButton="0" quotePrefix="0" xfId="0">
      <alignment horizontal="center"/>
    </xf>
    <xf numFmtId="168" fontId="30" fillId="18" borderId="4" applyAlignment="1" pivotButton="0" quotePrefix="0" xfId="0">
      <alignment horizontal="center"/>
    </xf>
    <xf numFmtId="0" fontId="63" fillId="0" borderId="4" pivotButton="0" quotePrefix="0" xfId="0"/>
    <xf numFmtId="0" fontId="0" fillId="0" borderId="4" pivotButton="0" quotePrefix="0" xfId="0"/>
    <xf numFmtId="9" fontId="63" fillId="0" borderId="4" pivotButton="0" quotePrefix="0" xfId="0"/>
    <xf numFmtId="176" fontId="63" fillId="0" borderId="4" pivotButton="0" quotePrefix="0" xfId="0"/>
    <xf numFmtId="1" fontId="37" fillId="6" borderId="4" applyAlignment="1" pivotButton="0" quotePrefix="0" xfId="0">
      <alignment horizontal="center"/>
    </xf>
    <xf numFmtId="1" fontId="37" fillId="7" borderId="4" applyAlignment="1" pivotButton="0" quotePrefix="0" xfId="0">
      <alignment horizontal="center"/>
    </xf>
    <xf numFmtId="0" fontId="65" fillId="0" borderId="2" pivotButton="0" quotePrefix="0" xfId="0"/>
    <xf numFmtId="0" fontId="65" fillId="4" borderId="2" pivotButton="0" quotePrefix="0" xfId="0"/>
    <xf numFmtId="0" fontId="66" fillId="0" borderId="2" pivotButton="0" quotePrefix="0" xfId="0"/>
    <xf numFmtId="0" fontId="67" fillId="0" borderId="2" pivotButton="0" quotePrefix="0" xfId="0"/>
    <xf numFmtId="0" fontId="68" fillId="18" borderId="2" applyAlignment="1" pivotButton="0" quotePrefix="0" xfId="0">
      <alignment horizontal="left"/>
    </xf>
    <xf numFmtId="168" fontId="65" fillId="18" borderId="4" applyAlignment="1" pivotButton="0" quotePrefix="0" xfId="0">
      <alignment horizontal="right"/>
    </xf>
    <xf numFmtId="176" fontId="63" fillId="18" borderId="4" applyAlignment="1" pivotButton="0" quotePrefix="0" xfId="0">
      <alignment horizontal="right"/>
    </xf>
    <xf numFmtId="174" fontId="63" fillId="18" borderId="4" applyAlignment="1" pivotButton="0" quotePrefix="0" xfId="0">
      <alignment horizontal="right"/>
    </xf>
    <xf numFmtId="168" fontId="69" fillId="18" borderId="4" applyAlignment="1" pivotButton="0" quotePrefix="0" xfId="0">
      <alignment horizontal="right"/>
    </xf>
    <xf numFmtId="168" fontId="70" fillId="18" borderId="4" applyAlignment="1" pivotButton="0" quotePrefix="0" xfId="0">
      <alignment horizontal="right"/>
    </xf>
    <xf numFmtId="168" fontId="71" fillId="18" borderId="4" applyAlignment="1" pivotButton="0" quotePrefix="0" xfId="0">
      <alignment horizontal="right"/>
    </xf>
    <xf numFmtId="0" fontId="72" fillId="0" borderId="0" pivotButton="0" quotePrefix="0" xfId="0"/>
    <xf numFmtId="0" fontId="73" fillId="21" borderId="0" pivotButton="0" quotePrefix="0" xfId="0"/>
    <xf numFmtId="0" fontId="63" fillId="0" borderId="0" applyAlignment="1" pivotButton="0" quotePrefix="0" xfId="0">
      <alignment horizontal="center"/>
    </xf>
    <xf numFmtId="0" fontId="7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2" fillId="0" borderId="0" applyAlignment="1" pivotButton="0" quotePrefix="0" xfId="0">
      <alignment horizontal="center"/>
    </xf>
    <xf numFmtId="0" fontId="74" fillId="0" borderId="2" pivotButton="0" quotePrefix="0" xfId="0"/>
    <xf numFmtId="0" fontId="73" fillId="0" borderId="0" pivotButton="0" quotePrefix="0" xfId="0"/>
    <xf numFmtId="0" fontId="70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30" fillId="0" borderId="2" applyProtection="1" pivotButton="0" quotePrefix="0" xfId="0">
      <protection locked="0" hidden="0"/>
    </xf>
    <xf numFmtId="0" fontId="30" fillId="3" borderId="2" applyProtection="1" pivotButton="0" quotePrefix="0" xfId="0">
      <protection locked="0" hidden="0"/>
    </xf>
    <xf numFmtId="0" fontId="76" fillId="20" borderId="4" applyAlignment="1" pivotButton="0" quotePrefix="0" xfId="0">
      <alignment horizontal="center"/>
    </xf>
    <xf numFmtId="0" fontId="37" fillId="11" borderId="4" applyAlignment="1" applyProtection="1" pivotButton="0" quotePrefix="0" xfId="0">
      <alignment horizontal="center"/>
      <protection locked="0" hidden="0"/>
    </xf>
    <xf numFmtId="168" fontId="37" fillId="11" borderId="4" applyAlignment="1" applyProtection="1" pivotButton="0" quotePrefix="0" xfId="0">
      <alignment horizontal="center"/>
      <protection locked="0" hidden="0"/>
    </xf>
    <xf numFmtId="0" fontId="66" fillId="0" borderId="0" pivotButton="0" quotePrefix="0" xfId="0"/>
    <xf numFmtId="0" fontId="77" fillId="0" borderId="0" pivotButton="0" quotePrefix="0" xfId="0"/>
    <xf numFmtId="0" fontId="64" fillId="20" borderId="0" applyAlignment="1" pivotButton="0" quotePrefix="0" xfId="0">
      <alignment horizontal="center"/>
    </xf>
    <xf numFmtId="169" fontId="0" fillId="0" borderId="0" pivotButton="0" quotePrefix="0" xfId="0"/>
    <xf numFmtId="176" fontId="0" fillId="0" borderId="0" pivotButton="0" quotePrefix="0" xfId="0"/>
    <xf numFmtId="0" fontId="0" fillId="0" borderId="5" pivotButton="0" quotePrefix="0" xfId="0"/>
    <xf numFmtId="0" fontId="63" fillId="4" borderId="2" pivotButton="0" quotePrefix="0" xfId="0"/>
    <xf numFmtId="0" fontId="66" fillId="18" borderId="4" applyAlignment="1" pivotButton="0" quotePrefix="0" xfId="0">
      <alignment horizontal="center"/>
    </xf>
    <xf numFmtId="168" fontId="80" fillId="18" borderId="4" applyAlignment="1" pivotButton="0" quotePrefix="0" xfId="0">
      <alignment horizontal="right"/>
    </xf>
    <xf numFmtId="14" fontId="0" fillId="0" borderId="4" pivotButton="0" quotePrefix="0" xfId="0"/>
    <xf numFmtId="168" fontId="0" fillId="0" borderId="4" pivotButton="0" quotePrefix="0" xfId="0"/>
    <xf numFmtId="168" fontId="63" fillId="0" borderId="4" pivotButton="0" quotePrefix="0" xfId="0"/>
    <xf numFmtId="9" fontId="0" fillId="0" borderId="4" pivotButton="0" quotePrefix="0" xfId="0"/>
    <xf numFmtId="1" fontId="0" fillId="0" borderId="4" pivotButton="0" quotePrefix="0" xfId="0"/>
    <xf numFmtId="174" fontId="0" fillId="0" borderId="4" pivotButton="0" quotePrefix="0" xfId="0"/>
    <xf numFmtId="168" fontId="0" fillId="0" borderId="0" pivotButton="0" quotePrefix="0" xfId="0"/>
    <xf numFmtId="9" fontId="0" fillId="0" borderId="0" pivotButton="0" quotePrefix="0" xfId="0"/>
    <xf numFmtId="1" fontId="0" fillId="0" borderId="0" pivotButton="0" quotePrefix="0" xfId="0"/>
    <xf numFmtId="174" fontId="0" fillId="0" borderId="0" pivotButton="0" quotePrefix="0" xfId="0"/>
    <xf numFmtId="1" fontId="37" fillId="11" borderId="4" applyAlignment="1" pivotButton="0" quotePrefix="0" xfId="0">
      <alignment horizontal="center"/>
    </xf>
    <xf numFmtId="176" fontId="37" fillId="11" borderId="4" applyAlignment="1" pivotButton="0" quotePrefix="0" xfId="0">
      <alignment horizontal="center"/>
    </xf>
    <xf numFmtId="176" fontId="30" fillId="18" borderId="4" applyAlignment="1" pivotButton="0" quotePrefix="0" xfId="0">
      <alignment horizontal="right"/>
    </xf>
    <xf numFmtId="1" fontId="63" fillId="0" borderId="6" pivotButton="0" quotePrefix="0" xfId="0"/>
    <xf numFmtId="14" fontId="63" fillId="0" borderId="6" pivotButton="0" quotePrefix="0" xfId="0"/>
    <xf numFmtId="0" fontId="63" fillId="0" borderId="6" pivotButton="0" quotePrefix="0" xfId="0"/>
    <xf numFmtId="168" fontId="63" fillId="0" borderId="6" pivotButton="0" quotePrefix="0" xfId="0"/>
    <xf numFmtId="9" fontId="63" fillId="0" borderId="6" pivotButton="0" quotePrefix="0" xfId="0"/>
    <xf numFmtId="174" fontId="63" fillId="0" borderId="6" pivotButton="0" quotePrefix="0" xfId="0"/>
    <xf numFmtId="0" fontId="81" fillId="0" borderId="4" pivotButton="0" quotePrefix="0" xfId="0"/>
    <xf numFmtId="0" fontId="81" fillId="0" borderId="0" pivotButton="0" quotePrefix="0" xfId="0"/>
    <xf numFmtId="0" fontId="82" fillId="0" borderId="0" pivotButton="0" quotePrefix="0" xfId="0"/>
    <xf numFmtId="0" fontId="85" fillId="22" borderId="0" applyAlignment="1" pivotButton="0" quotePrefix="0" xfId="0">
      <alignment horizontal="center"/>
    </xf>
    <xf numFmtId="0" fontId="86" fillId="0" borderId="0" pivotButton="0" quotePrefix="0" xfId="0"/>
    <xf numFmtId="0" fontId="80" fillId="0" borderId="0" pivotButton="0" quotePrefix="0" xfId="0"/>
    <xf numFmtId="0" fontId="83" fillId="0" borderId="0" pivotButton="0" quotePrefix="0" xfId="0"/>
    <xf numFmtId="0" fontId="84" fillId="0" borderId="0" pivotButton="0" quotePrefix="0" xfId="0"/>
    <xf numFmtId="0" fontId="58" fillId="0" borderId="0" pivotButton="0" quotePrefix="0" xfId="0"/>
    <xf numFmtId="0" fontId="60" fillId="0" borderId="0" applyAlignment="1" pivotButton="0" quotePrefix="0" xfId="0">
      <alignment horizontal="center"/>
    </xf>
    <xf numFmtId="0" fontId="87" fillId="0" borderId="0" pivotButton="0" quotePrefix="0" xfId="0"/>
    <xf numFmtId="0" fontId="85" fillId="23" borderId="4" applyAlignment="1" pivotButton="0" quotePrefix="0" xfId="0">
      <alignment horizontal="center"/>
    </xf>
    <xf numFmtId="0" fontId="73" fillId="0" borderId="4" applyAlignment="1" pivotButton="0" quotePrefix="0" xfId="0">
      <alignment horizontal="center" vertical="center"/>
    </xf>
    <xf numFmtId="0" fontId="73" fillId="24" borderId="4" applyAlignment="1" pivotButton="0" quotePrefix="0" xfId="0">
      <alignment horizontal="center" vertical="center"/>
    </xf>
    <xf numFmtId="0" fontId="79" fillId="0" borderId="4" applyAlignment="1" pivotButton="0" quotePrefix="0" xfId="0">
      <alignment horizontal="center"/>
    </xf>
    <xf numFmtId="0" fontId="79" fillId="24" borderId="4" applyAlignment="1" pivotButton="0" quotePrefix="0" xfId="0">
      <alignment horizontal="center"/>
    </xf>
    <xf numFmtId="0" fontId="88" fillId="0" borderId="4" applyAlignment="1" pivotButton="0" quotePrefix="0" xfId="0">
      <alignment horizontal="center"/>
    </xf>
    <xf numFmtId="0" fontId="88" fillId="24" borderId="4" applyAlignment="1" pivotButton="0" quotePrefix="0" xfId="0">
      <alignment horizontal="center"/>
    </xf>
    <xf numFmtId="0" fontId="0" fillId="19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4" borderId="0" pivotButton="0" quotePrefix="0" xfId="0"/>
    <xf numFmtId="0" fontId="89" fillId="0" borderId="0" pivotButton="0" quotePrefix="0" xfId="0"/>
    <xf numFmtId="0" fontId="30" fillId="7" borderId="4" applyAlignment="1" pivotButton="0" quotePrefix="0" xfId="0">
      <alignment horizontal="right"/>
    </xf>
    <xf numFmtId="0" fontId="30" fillId="7" borderId="2" applyAlignment="1" pivotButton="0" quotePrefix="0" xfId="0">
      <alignment horizontal="right"/>
    </xf>
    <xf numFmtId="0" fontId="33" fillId="2" borderId="2" applyAlignment="1" pivotButton="0" quotePrefix="0" xfId="0">
      <alignment horizontal="right"/>
    </xf>
  </cellXfs>
  <cellStyles count="1">
    <cellStyle name="Normal" xfId="0" builtinId="0"/>
  </cellStyles>
  <dxfs count="4">
    <dxf>
      <fill>
        <patternFill patternType="solid">
          <fgColor rgb="00D9D9D9"/>
          <bgColor rgb="00D9D9D9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Ocupación Real vs Pronóstico - Febrero 2026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Hoja1!$B$4</f>
              <strCache>
                <ptCount val="1"/>
                <pt idx="0">
                  <v>OCC REAL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cat>
            <numRef>
              <f>Hoja1!$A$5:$A$32</f>
              <numCache>
                <formatCode>m/d/yyyy</formatCode>
                <ptCount val="28"/>
                <pt idx="0">
                  <v>46054</v>
                </pt>
                <pt idx="1">
                  <v>46055</v>
                </pt>
                <pt idx="2">
                  <v>46056</v>
                </pt>
                <pt idx="3">
                  <v>46057</v>
                </pt>
                <pt idx="4">
                  <v>46058</v>
                </pt>
                <pt idx="5">
                  <v>46059</v>
                </pt>
                <pt idx="6">
                  <v>46060</v>
                </pt>
                <pt idx="7">
                  <v>46061</v>
                </pt>
                <pt idx="8">
                  <v>46062</v>
                </pt>
                <pt idx="9">
                  <v>46063</v>
                </pt>
                <pt idx="10">
                  <v>46064</v>
                </pt>
                <pt idx="11">
                  <v>46065</v>
                </pt>
                <pt idx="12">
                  <v>46066</v>
                </pt>
                <pt idx="13">
                  <v>46067</v>
                </pt>
                <pt idx="14">
                  <v>46068</v>
                </pt>
                <pt idx="15">
                  <v>46069</v>
                </pt>
                <pt idx="16">
                  <v>46070</v>
                </pt>
                <pt idx="17">
                  <v>46071</v>
                </pt>
                <pt idx="18">
                  <v>46072</v>
                </pt>
                <pt idx="19">
                  <v>46073</v>
                </pt>
                <pt idx="20">
                  <v>46074</v>
                </pt>
                <pt idx="21">
                  <v>46075</v>
                </pt>
                <pt idx="22">
                  <v>46076</v>
                </pt>
                <pt idx="23">
                  <v>46077</v>
                </pt>
                <pt idx="24">
                  <v>46078</v>
                </pt>
                <pt idx="25">
                  <v>46079</v>
                </pt>
                <pt idx="26">
                  <v>46080</v>
                </pt>
                <pt idx="27">
                  <v>46081</v>
                </pt>
              </numCache>
            </numRef>
          </cat>
          <val>
            <numRef>
              <f>Hoja1!$B$5:$B$32</f>
              <numCache>
                <formatCode>General</formatCode>
                <ptCount val="28"/>
                <pt idx="0">
                  <v>69</v>
                </pt>
                <pt idx="1">
                  <v>65</v>
                </pt>
                <pt idx="2">
                  <v>68</v>
                </pt>
                <pt idx="3">
                  <v>40</v>
                </pt>
                <pt idx="4">
                  <v>85</v>
                </pt>
                <pt idx="5">
                  <v>80</v>
                </pt>
                <pt idx="6">
                  <v>85</v>
                </pt>
                <pt idx="7">
                  <v>70</v>
                </pt>
                <pt idx="8">
                  <v>82</v>
                </pt>
                <pt idx="9">
                  <v>80</v>
                </pt>
                <pt idx="10">
                  <v>75</v>
                </pt>
                <pt idx="11">
                  <v>88</v>
                </pt>
                <pt idx="12">
                  <v>82</v>
                </pt>
                <pt idx="13">
                  <v>85</v>
                </pt>
                <pt idx="14">
                  <v>72</v>
                </pt>
                <pt idx="15">
                  <v>80</v>
                </pt>
                <pt idx="16">
                  <v>85</v>
                </pt>
                <pt idx="17">
                  <v>83</v>
                </pt>
                <pt idx="18">
                  <v>87</v>
                </pt>
                <pt idx="19">
                  <v>85</v>
                </pt>
                <pt idx="20">
                  <v>85</v>
                </pt>
                <pt idx="21">
                  <v>75</v>
                </pt>
                <pt idx="22">
                  <v>82</v>
                </pt>
                <pt idx="23">
                  <v>84</v>
                </pt>
                <pt idx="24">
                  <v>85</v>
                </pt>
                <pt idx="25">
                  <v>85</v>
                </pt>
                <pt idx="26">
                  <v>88</v>
                </pt>
                <pt idx="27">
                  <v>85</v>
                </pt>
              </numCache>
            </numRef>
          </val>
          <smooth val="0"/>
        </ser>
        <ser>
          <idx val="1"/>
          <order val="1"/>
          <tx>
            <strRef>
              <f>Hoja1!$C$4</f>
              <strCache>
                <ptCount val="1"/>
                <pt idx="0">
                  <v>PRONÓSTICO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cat>
            <numRef>
              <f>Hoja1!$A$5:$A$32</f>
              <numCache>
                <formatCode>m/d/yyyy</formatCode>
                <ptCount val="28"/>
                <pt idx="0">
                  <v>46054</v>
                </pt>
                <pt idx="1">
                  <v>46055</v>
                </pt>
                <pt idx="2">
                  <v>46056</v>
                </pt>
                <pt idx="3">
                  <v>46057</v>
                </pt>
                <pt idx="4">
                  <v>46058</v>
                </pt>
                <pt idx="5">
                  <v>46059</v>
                </pt>
                <pt idx="6">
                  <v>46060</v>
                </pt>
                <pt idx="7">
                  <v>46061</v>
                </pt>
                <pt idx="8">
                  <v>46062</v>
                </pt>
                <pt idx="9">
                  <v>46063</v>
                </pt>
                <pt idx="10">
                  <v>46064</v>
                </pt>
                <pt idx="11">
                  <v>46065</v>
                </pt>
                <pt idx="12">
                  <v>46066</v>
                </pt>
                <pt idx="13">
                  <v>46067</v>
                </pt>
                <pt idx="14">
                  <v>46068</v>
                </pt>
                <pt idx="15">
                  <v>46069</v>
                </pt>
                <pt idx="16">
                  <v>46070</v>
                </pt>
                <pt idx="17">
                  <v>46071</v>
                </pt>
                <pt idx="18">
                  <v>46072</v>
                </pt>
                <pt idx="19">
                  <v>46073</v>
                </pt>
                <pt idx="20">
                  <v>46074</v>
                </pt>
                <pt idx="21">
                  <v>46075</v>
                </pt>
                <pt idx="22">
                  <v>46076</v>
                </pt>
                <pt idx="23">
                  <v>46077</v>
                </pt>
                <pt idx="24">
                  <v>46078</v>
                </pt>
                <pt idx="25">
                  <v>46079</v>
                </pt>
                <pt idx="26">
                  <v>46080</v>
                </pt>
                <pt idx="27">
                  <v>46081</v>
                </pt>
              </numCache>
            </numRef>
          </cat>
          <val>
            <numRef>
              <f>Hoja1!$C$5:$C$32</f>
              <numCache>
                <formatCode>General</formatCode>
                <ptCount val="28"/>
                <pt idx="0">
                  <v>80</v>
                </pt>
                <pt idx="1">
                  <v>76</v>
                </pt>
                <pt idx="2">
                  <v>83</v>
                </pt>
                <pt idx="3">
                  <v>83</v>
                </pt>
                <pt idx="4">
                  <v>85</v>
                </pt>
                <pt idx="5">
                  <v>85</v>
                </pt>
                <pt idx="6">
                  <v>85</v>
                </pt>
                <pt idx="7">
                  <v>83</v>
                </pt>
                <pt idx="8">
                  <v>85</v>
                </pt>
                <pt idx="9">
                  <v>85</v>
                </pt>
                <pt idx="10">
                  <v>85</v>
                </pt>
                <pt idx="11">
                  <v>85</v>
                </pt>
                <pt idx="12">
                  <v>85</v>
                </pt>
                <pt idx="13">
                  <v>85</v>
                </pt>
                <pt idx="14">
                  <v>78</v>
                </pt>
                <pt idx="15">
                  <v>78</v>
                </pt>
                <pt idx="16">
                  <v>85</v>
                </pt>
                <pt idx="17">
                  <v>85</v>
                </pt>
                <pt idx="18">
                  <v>85</v>
                </pt>
                <pt idx="19">
                  <v>85</v>
                </pt>
                <pt idx="20">
                  <v>85</v>
                </pt>
                <pt idx="21">
                  <v>77</v>
                </pt>
                <pt idx="22">
                  <v>78</v>
                </pt>
                <pt idx="23">
                  <v>81</v>
                </pt>
                <pt idx="24">
                  <v>81</v>
                </pt>
                <pt idx="25">
                  <v>85</v>
                </pt>
                <pt idx="26">
                  <v>85</v>
                </pt>
                <pt idx="27">
                  <v>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9176968"/>
        <axId val="219180552"/>
      </lineChart>
      <dateAx>
        <axId val="219176968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9180552"/>
        <crosses val="autoZero"/>
        <lblOffset val="100"/>
        <baseTimeUnit val="days"/>
      </dateAx>
      <valAx>
        <axId val="2191805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917696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Diarios ($) - Febrero 2026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Hoja1!$Z$36</f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Hoja1!$Y$37:$Y$64</f>
            </strRef>
          </cat>
          <val>
            <numRef>
              <f>Hoja1!$Z$37:$Z$64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9328008"/>
        <axId val="219335688"/>
      </barChart>
      <catAx>
        <axId val="219328008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9335688"/>
        <crosses val="autoZero"/>
        <auto val="1"/>
        <lblAlgn val="ctr"/>
        <lblOffset val="100"/>
        <noMultiLvlLbl val="0"/>
      </catAx>
      <valAx>
        <axId val="21933568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932800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HECTOR PALAZUELOS</author>
  </authors>
  <commentList>
    <comment ref="C42" authorId="0" shapeId="0">
      <text>
        <t>EDITABLE: Cambia este valor para simular diferentes metas</t>
      </text>
    </comment>
  </commentList>
</comments>
</file>

<file path=xl/comments/comment2.xml><?xml version="1.0" encoding="utf-8"?>
<comments xmlns="http://schemas.openxmlformats.org/spreadsheetml/2006/main">
  <authors>
    <author>HECTOR PALAZUELOS</author>
  </authors>
  <commentList>
    <comment ref="D4" authorId="0" shapeId="0">
      <text>
        <t>EDITABLE: Cambia tu meta aquí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24</col>
      <colOff>0</colOff>
      <row>3</row>
      <rowOff>0</rowOff>
    </from>
    <to>
      <col>30</col>
      <colOff>0</colOff>
      <row>17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24</col>
      <colOff>0</colOff>
      <row>19</row>
      <rowOff>0</rowOff>
    </from>
    <to>
      <col>30</col>
      <colOff>0</colOff>
      <row>33</row>
      <rowOff>76200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zoomScale="90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70" t="inlineStr">
        <is>
          <t>PANEL DE CONTROL - HOTEL INH3RI</t>
        </is>
      </c>
    </row>
    <row r="2">
      <c r="A2" s="371" t="inlineStr">
        <is>
          <t>85 Habitaciones | Sistema de Seguimiento</t>
        </is>
      </c>
    </row>
    <row r="4">
      <c r="A4" s="372" t="inlineStr">
        <is>
          <t>NAVEGACIÓN RÁPIDA</t>
        </is>
      </c>
    </row>
    <row r="6">
      <c r="A6" s="373">
        <f>HYPERLINK("#'Hoja1'!A1", "→ Reporte Histórico")</f>
        <v/>
      </c>
      <c r="B6" s="374" t="inlineStr">
        <is>
          <t>Datos mensuales de ocupación e ingresos</t>
        </is>
      </c>
    </row>
    <row r="7">
      <c r="A7" s="373">
        <f>HYPERLINK("#'Dashboard KPIs'!A1", "→ Dashboard KPIs")</f>
        <v/>
      </c>
      <c r="B7" s="374" t="inlineStr">
        <is>
          <t>Indicadores clave de rendimiento</t>
        </is>
      </c>
    </row>
    <row r="8">
      <c r="A8" s="373">
        <f>HYPERLINK("#'Seguimiento Diario'!A1", "→ Seguimiento Diario")</f>
        <v/>
      </c>
      <c r="B8" s="374" t="inlineStr">
        <is>
          <t>Registro día a día</t>
        </is>
      </c>
    </row>
    <row r="9">
      <c r="A9" s="373">
        <f>HYPERLINK("#'Análisis y Recomendaciones'!A1", "→ Análisis")</f>
        <v/>
      </c>
      <c r="B9" s="374" t="inlineStr">
        <is>
          <t>20 puntos de mejora</t>
        </is>
      </c>
    </row>
    <row r="10">
      <c r="A10" s="373">
        <f>HYPERLINK("#'Gráficos'!A1", "→ Gráficos")</f>
        <v/>
      </c>
      <c r="B10" s="374" t="inlineStr">
        <is>
          <t>Visualizaciones de datos</t>
        </is>
      </c>
    </row>
    <row r="12">
      <c r="A12" s="502" t="inlineStr">
        <is>
          <t>INSTRUCCIONES DE USO</t>
        </is>
      </c>
    </row>
    <row r="13">
      <c r="A13" s="504" t="inlineStr">
        <is>
          <t>1. CAMBIAR DE MES:</t>
        </is>
      </c>
      <c r="B13" s="505" t="inlineStr">
        <is>
          <t>Solo cambia el mes en celda S3 de "Seguimiento Diario"</t>
        </is>
      </c>
    </row>
    <row r="14">
      <c r="A14" s="504" t="inlineStr">
        <is>
          <t>2. LOS DÍAS SE AJUSTAN:</t>
        </is>
      </c>
      <c r="B14" s="505" t="inlineStr">
        <is>
          <t>Automáticamente muestra 28, 29, 30 o 31 días</t>
        </is>
      </c>
    </row>
    <row r="15">
      <c r="A15" s="504" t="inlineStr">
        <is>
          <t>3. LIMPIAR DATOS:</t>
        </is>
      </c>
      <c r="B15" s="505" t="inlineStr">
        <is>
          <t>Borra E6:E36 (ocupación) y G6:G36 (tarifas)</t>
        </is>
      </c>
    </row>
    <row r="16">
      <c r="A16" s="504" t="inlineStr">
        <is>
          <t>4. GUARDAR HISTÓRICO:</t>
        </is>
      </c>
      <c r="B16" s="505" t="inlineStr">
        <is>
          <t>Antes de limpiar, copia totales a hoja Histórico</t>
        </is>
      </c>
    </row>
    <row r="18">
      <c r="A18" s="504" t="inlineStr">
        <is>
          <t>Contraseña hojas protegidas: hotel2026</t>
        </is>
      </c>
    </row>
    <row r="20">
      <c r="A20" s="541" t="inlineStr">
        <is>
          <t>EXPORTAR A PDF</t>
        </is>
      </c>
      <c r="C20" s="542" t="inlineStr">
        <is>
          <t>[ EXPORTAR PDF ]</t>
        </is>
      </c>
    </row>
    <row r="21">
      <c r="A21" s="503" t="inlineStr">
        <is>
          <t>Para agregar el botón de exportación:</t>
        </is>
      </c>
      <c r="C21" s="543" t="inlineStr">
        <is>
          <t>(Requiere macro - ver instrucciones)</t>
        </is>
      </c>
    </row>
    <row r="22">
      <c r="A22" s="544" t="inlineStr">
        <is>
          <t>1. Guarda este archivo como .xlsm (Libro habilitado para macros)</t>
        </is>
      </c>
    </row>
    <row r="23">
      <c r="A23" s="544" t="inlineStr">
        <is>
          <t>2. Presiona Alt+F11 para abrir el editor VBA</t>
        </is>
      </c>
    </row>
    <row r="24">
      <c r="A24" s="544" t="inlineStr">
        <is>
          <t>3. Inserta → Módulo</t>
        </is>
      </c>
    </row>
    <row r="25">
      <c r="A25" s="544" t="inlineStr">
        <is>
          <t>4. Pega el código que está en la hoja "Macro_PDF"</t>
        </is>
      </c>
    </row>
    <row r="26">
      <c r="A26" s="544" t="inlineStr">
        <is>
          <t>5. Cierra el editor y guarda</t>
        </is>
      </c>
    </row>
    <row r="27">
      <c r="A27" s="544" t="inlineStr">
        <is>
          <t>6. Usa Alt+F8 → ExportarPDF para ejecutar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" customWidth="1" min="9" max="9"/>
  </cols>
  <sheetData>
    <row r="1">
      <c r="A1" s="547" t="inlineStr">
        <is>
          <t>CALENDARIO DE OCUPACIÓN</t>
        </is>
      </c>
    </row>
    <row r="2">
      <c r="A2" s="548">
        <f>'Seguimiento Diario'!S3&amp;" "&amp;'Seguimiento Diario'!S4</f>
        <v/>
      </c>
      <c r="I2" s="549">
        <f>WEEKDAY(DATE('Seguimiento Diario'!S4,VALUE(LEFT('Seguimiento Diario'!S3,FIND("-",'Seguimiento Diario'!S3)-1)),1),2)</f>
        <v/>
      </c>
    </row>
    <row r="3">
      <c r="I3" s="549">
        <f>'Seguimiento Diario'!S6</f>
        <v/>
      </c>
    </row>
    <row r="4">
      <c r="A4" s="550" t="inlineStr">
        <is>
          <t>LUN</t>
        </is>
      </c>
      <c r="B4" s="550" t="inlineStr">
        <is>
          <t>MAR</t>
        </is>
      </c>
      <c r="C4" s="550" t="inlineStr">
        <is>
          <t>MIÉ</t>
        </is>
      </c>
      <c r="D4" s="550" t="inlineStr">
        <is>
          <t>JUE</t>
        </is>
      </c>
      <c r="E4" s="550" t="inlineStr">
        <is>
          <t>VIE</t>
        </is>
      </c>
      <c r="F4" s="550" t="inlineStr">
        <is>
          <t>SÁB</t>
        </is>
      </c>
      <c r="G4" s="550" t="inlineStr">
        <is>
          <t>DOM</t>
        </is>
      </c>
    </row>
    <row r="5" ht="20" customHeight="1">
      <c r="A5" s="551">
        <f>IF(AND(0*7+1-$I$2+1&gt;=1,0*7+1-$I$2+1&lt;=$I$3),0*7+1-$I$2+1,"")</f>
        <v/>
      </c>
      <c r="B5" s="551">
        <f>IF(AND(0*7+2-$I$2+1&gt;=1,0*7+2-$I$2+1&lt;=$I$3),0*7+2-$I$2+1,"")</f>
        <v/>
      </c>
      <c r="C5" s="551">
        <f>IF(AND(0*7+3-$I$2+1&gt;=1,0*7+3-$I$2+1&lt;=$I$3),0*7+3-$I$2+1,"")</f>
        <v/>
      </c>
      <c r="D5" s="551">
        <f>IF(AND(0*7+4-$I$2+1&gt;=1,0*7+4-$I$2+1&lt;=$I$3),0*7+4-$I$2+1,"")</f>
        <v/>
      </c>
      <c r="E5" s="551">
        <f>IF(AND(0*7+5-$I$2+1&gt;=1,0*7+5-$I$2+1&lt;=$I$3),0*7+5-$I$2+1,"")</f>
        <v/>
      </c>
      <c r="F5" s="552">
        <f>IF(AND(0*7+6-$I$2+1&gt;=1,0*7+6-$I$2+1&lt;=$I$3),0*7+6-$I$2+1,"")</f>
        <v/>
      </c>
      <c r="G5" s="552">
        <f>IF(AND(0*7+7-$I$2+1&gt;=1,0*7+7-$I$2+1&lt;=$I$3),0*7+7-$I$2+1,"")</f>
        <v/>
      </c>
    </row>
    <row r="6" ht="20" customHeight="1">
      <c r="A6" s="553">
        <f>IF(A5="","",IFERROR(INDEX('Seguimiento Diario'!$E$6:$E$36,A5)&amp;"%","-"))</f>
        <v/>
      </c>
      <c r="B6" s="553">
        <f>IF(B5="","",IFERROR(INDEX('Seguimiento Diario'!$E$6:$E$36,B5)&amp;"%","-"))</f>
        <v/>
      </c>
      <c r="C6" s="553">
        <f>IF(C5="","",IFERROR(INDEX('Seguimiento Diario'!$E$6:$E$36,C5)&amp;"%","-"))</f>
        <v/>
      </c>
      <c r="D6" s="553">
        <f>IF(D5="","",IFERROR(INDEX('Seguimiento Diario'!$E$6:$E$36,D5)&amp;"%","-"))</f>
        <v/>
      </c>
      <c r="E6" s="553">
        <f>IF(E5="","",IFERROR(INDEX('Seguimiento Diario'!$E$6:$E$36,E5)&amp;"%","-"))</f>
        <v/>
      </c>
      <c r="F6" s="554">
        <f>IF(F5="","",IFERROR(INDEX('Seguimiento Diario'!$E$6:$E$36,F5)&amp;"%","-"))</f>
        <v/>
      </c>
      <c r="G6" s="554">
        <f>IF(G5="","",IFERROR(INDEX('Seguimiento Diario'!$E$6:$E$36,G5)&amp;"%","-"))</f>
        <v/>
      </c>
    </row>
    <row r="7" ht="20" customHeight="1">
      <c r="A7" s="555">
        <f>IF(A5="","",IFERROR("$"&amp;TEXT(INDEX('Seguimiento Diario'!$H$6:$H$36,A5),"#,##0"),"-"))</f>
        <v/>
      </c>
      <c r="B7" s="555">
        <f>IF(B5="","",IFERROR("$"&amp;TEXT(INDEX('Seguimiento Diario'!$H$6:$H$36,B5),"#,##0"),"-"))</f>
        <v/>
      </c>
      <c r="C7" s="555">
        <f>IF(C5="","",IFERROR("$"&amp;TEXT(INDEX('Seguimiento Diario'!$H$6:$H$36,C5),"#,##0"),"-"))</f>
        <v/>
      </c>
      <c r="D7" s="555">
        <f>IF(D5="","",IFERROR("$"&amp;TEXT(INDEX('Seguimiento Diario'!$H$6:$H$36,D5),"#,##0"),"-"))</f>
        <v/>
      </c>
      <c r="E7" s="555">
        <f>IF(E5="","",IFERROR("$"&amp;TEXT(INDEX('Seguimiento Diario'!$H$6:$H$36,E5),"#,##0"),"-"))</f>
        <v/>
      </c>
      <c r="F7" s="556">
        <f>IF(F5="","",IFERROR("$"&amp;TEXT(INDEX('Seguimiento Diario'!$H$6:$H$36,F5),"#,##0"),"-"))</f>
        <v/>
      </c>
      <c r="G7" s="556">
        <f>IF(G5="","",IFERROR("$"&amp;TEXT(INDEX('Seguimiento Diario'!$H$6:$H$36,G5),"#,##0"),"-"))</f>
        <v/>
      </c>
    </row>
    <row r="8" ht="20" customHeight="1">
      <c r="A8" s="551">
        <f>IF(AND(1*7+1-$I$2+1&gt;=1,1*7+1-$I$2+1&lt;=$I$3),1*7+1-$I$2+1,"")</f>
        <v/>
      </c>
      <c r="B8" s="551">
        <f>IF(AND(1*7+2-$I$2+1&gt;=1,1*7+2-$I$2+1&lt;=$I$3),1*7+2-$I$2+1,"")</f>
        <v/>
      </c>
      <c r="C8" s="551">
        <f>IF(AND(1*7+3-$I$2+1&gt;=1,1*7+3-$I$2+1&lt;=$I$3),1*7+3-$I$2+1,"")</f>
        <v/>
      </c>
      <c r="D8" s="551">
        <f>IF(AND(1*7+4-$I$2+1&gt;=1,1*7+4-$I$2+1&lt;=$I$3),1*7+4-$I$2+1,"")</f>
        <v/>
      </c>
      <c r="E8" s="551">
        <f>IF(AND(1*7+5-$I$2+1&gt;=1,1*7+5-$I$2+1&lt;=$I$3),1*7+5-$I$2+1,"")</f>
        <v/>
      </c>
      <c r="F8" s="552">
        <f>IF(AND(1*7+6-$I$2+1&gt;=1,1*7+6-$I$2+1&lt;=$I$3),1*7+6-$I$2+1,"")</f>
        <v/>
      </c>
      <c r="G8" s="552">
        <f>IF(AND(1*7+7-$I$2+1&gt;=1,1*7+7-$I$2+1&lt;=$I$3),1*7+7-$I$2+1,"")</f>
        <v/>
      </c>
    </row>
    <row r="9" ht="20" customHeight="1">
      <c r="A9" s="553">
        <f>IF(A8="","",IFERROR(INDEX('Seguimiento Diario'!$E$6:$E$36,A8)&amp;"%","-"))</f>
        <v/>
      </c>
      <c r="B9" s="553">
        <f>IF(B8="","",IFERROR(INDEX('Seguimiento Diario'!$E$6:$E$36,B8)&amp;"%","-"))</f>
        <v/>
      </c>
      <c r="C9" s="553">
        <f>IF(C8="","",IFERROR(INDEX('Seguimiento Diario'!$E$6:$E$36,C8)&amp;"%","-"))</f>
        <v/>
      </c>
      <c r="D9" s="553">
        <f>IF(D8="","",IFERROR(INDEX('Seguimiento Diario'!$E$6:$E$36,D8)&amp;"%","-"))</f>
        <v/>
      </c>
      <c r="E9" s="553">
        <f>IF(E8="","",IFERROR(INDEX('Seguimiento Diario'!$E$6:$E$36,E8)&amp;"%","-"))</f>
        <v/>
      </c>
      <c r="F9" s="554">
        <f>IF(F8="","",IFERROR(INDEX('Seguimiento Diario'!$E$6:$E$36,F8)&amp;"%","-"))</f>
        <v/>
      </c>
      <c r="G9" s="554">
        <f>IF(G8="","",IFERROR(INDEX('Seguimiento Diario'!$E$6:$E$36,G8)&amp;"%","-"))</f>
        <v/>
      </c>
    </row>
    <row r="10" ht="20" customHeight="1">
      <c r="A10" s="555">
        <f>IF(A8="","",IFERROR("$"&amp;TEXT(INDEX('Seguimiento Diario'!$H$6:$H$36,A8),"#,##0"),"-"))</f>
        <v/>
      </c>
      <c r="B10" s="555">
        <f>IF(B8="","",IFERROR("$"&amp;TEXT(INDEX('Seguimiento Diario'!$H$6:$H$36,B8),"#,##0"),"-"))</f>
        <v/>
      </c>
      <c r="C10" s="555">
        <f>IF(C8="","",IFERROR("$"&amp;TEXT(INDEX('Seguimiento Diario'!$H$6:$H$36,C8),"#,##0"),"-"))</f>
        <v/>
      </c>
      <c r="D10" s="555">
        <f>IF(D8="","",IFERROR("$"&amp;TEXT(INDEX('Seguimiento Diario'!$H$6:$H$36,D8),"#,##0"),"-"))</f>
        <v/>
      </c>
      <c r="E10" s="555">
        <f>IF(E8="","",IFERROR("$"&amp;TEXT(INDEX('Seguimiento Diario'!$H$6:$H$36,E8),"#,##0"),"-"))</f>
        <v/>
      </c>
      <c r="F10" s="556">
        <f>IF(F8="","",IFERROR("$"&amp;TEXT(INDEX('Seguimiento Diario'!$H$6:$H$36,F8),"#,##0"),"-"))</f>
        <v/>
      </c>
      <c r="G10" s="556">
        <f>IF(G8="","",IFERROR("$"&amp;TEXT(INDEX('Seguimiento Diario'!$H$6:$H$36,G8),"#,##0"),"-"))</f>
        <v/>
      </c>
    </row>
    <row r="11" ht="20" customHeight="1">
      <c r="A11" s="551">
        <f>IF(AND(2*7+1-$I$2+1&gt;=1,2*7+1-$I$2+1&lt;=$I$3),2*7+1-$I$2+1,"")</f>
        <v/>
      </c>
      <c r="B11" s="551">
        <f>IF(AND(2*7+2-$I$2+1&gt;=1,2*7+2-$I$2+1&lt;=$I$3),2*7+2-$I$2+1,"")</f>
        <v/>
      </c>
      <c r="C11" s="551">
        <f>IF(AND(2*7+3-$I$2+1&gt;=1,2*7+3-$I$2+1&lt;=$I$3),2*7+3-$I$2+1,"")</f>
        <v/>
      </c>
      <c r="D11" s="551">
        <f>IF(AND(2*7+4-$I$2+1&gt;=1,2*7+4-$I$2+1&lt;=$I$3),2*7+4-$I$2+1,"")</f>
        <v/>
      </c>
      <c r="E11" s="551">
        <f>IF(AND(2*7+5-$I$2+1&gt;=1,2*7+5-$I$2+1&lt;=$I$3),2*7+5-$I$2+1,"")</f>
        <v/>
      </c>
      <c r="F11" s="552">
        <f>IF(AND(2*7+6-$I$2+1&gt;=1,2*7+6-$I$2+1&lt;=$I$3),2*7+6-$I$2+1,"")</f>
        <v/>
      </c>
      <c r="G11" s="552">
        <f>IF(AND(2*7+7-$I$2+1&gt;=1,2*7+7-$I$2+1&lt;=$I$3),2*7+7-$I$2+1,"")</f>
        <v/>
      </c>
    </row>
    <row r="12" ht="20" customHeight="1">
      <c r="A12" s="553">
        <f>IF(A11="","",IFERROR(INDEX('Seguimiento Diario'!$E$6:$E$36,A11)&amp;"%","-"))</f>
        <v/>
      </c>
      <c r="B12" s="553">
        <f>IF(B11="","",IFERROR(INDEX('Seguimiento Diario'!$E$6:$E$36,B11)&amp;"%","-"))</f>
        <v/>
      </c>
      <c r="C12" s="553">
        <f>IF(C11="","",IFERROR(INDEX('Seguimiento Diario'!$E$6:$E$36,C11)&amp;"%","-"))</f>
        <v/>
      </c>
      <c r="D12" s="553">
        <f>IF(D11="","",IFERROR(INDEX('Seguimiento Diario'!$E$6:$E$36,D11)&amp;"%","-"))</f>
        <v/>
      </c>
      <c r="E12" s="553">
        <f>IF(E11="","",IFERROR(INDEX('Seguimiento Diario'!$E$6:$E$36,E11)&amp;"%","-"))</f>
        <v/>
      </c>
      <c r="F12" s="554">
        <f>IF(F11="","",IFERROR(INDEX('Seguimiento Diario'!$E$6:$E$36,F11)&amp;"%","-"))</f>
        <v/>
      </c>
      <c r="G12" s="554">
        <f>IF(G11="","",IFERROR(INDEX('Seguimiento Diario'!$E$6:$E$36,G11)&amp;"%","-"))</f>
        <v/>
      </c>
    </row>
    <row r="13" ht="20" customHeight="1">
      <c r="A13" s="555">
        <f>IF(A11="","",IFERROR("$"&amp;TEXT(INDEX('Seguimiento Diario'!$H$6:$H$36,A11),"#,##0"),"-"))</f>
        <v/>
      </c>
      <c r="B13" s="555">
        <f>IF(B11="","",IFERROR("$"&amp;TEXT(INDEX('Seguimiento Diario'!$H$6:$H$36,B11),"#,##0"),"-"))</f>
        <v/>
      </c>
      <c r="C13" s="555">
        <f>IF(C11="","",IFERROR("$"&amp;TEXT(INDEX('Seguimiento Diario'!$H$6:$H$36,C11),"#,##0"),"-"))</f>
        <v/>
      </c>
      <c r="D13" s="555">
        <f>IF(D11="","",IFERROR("$"&amp;TEXT(INDEX('Seguimiento Diario'!$H$6:$H$36,D11),"#,##0"),"-"))</f>
        <v/>
      </c>
      <c r="E13" s="555">
        <f>IF(E11="","",IFERROR("$"&amp;TEXT(INDEX('Seguimiento Diario'!$H$6:$H$36,E11),"#,##0"),"-"))</f>
        <v/>
      </c>
      <c r="F13" s="556">
        <f>IF(F11="","",IFERROR("$"&amp;TEXT(INDEX('Seguimiento Diario'!$H$6:$H$36,F11),"#,##0"),"-"))</f>
        <v/>
      </c>
      <c r="G13" s="556">
        <f>IF(G11="","",IFERROR("$"&amp;TEXT(INDEX('Seguimiento Diario'!$H$6:$H$36,G11),"#,##0"),"-"))</f>
        <v/>
      </c>
    </row>
    <row r="14" ht="20" customHeight="1">
      <c r="A14" s="551">
        <f>IF(AND(3*7+1-$I$2+1&gt;=1,3*7+1-$I$2+1&lt;=$I$3),3*7+1-$I$2+1,"")</f>
        <v/>
      </c>
      <c r="B14" s="551">
        <f>IF(AND(3*7+2-$I$2+1&gt;=1,3*7+2-$I$2+1&lt;=$I$3),3*7+2-$I$2+1,"")</f>
        <v/>
      </c>
      <c r="C14" s="551">
        <f>IF(AND(3*7+3-$I$2+1&gt;=1,3*7+3-$I$2+1&lt;=$I$3),3*7+3-$I$2+1,"")</f>
        <v/>
      </c>
      <c r="D14" s="551">
        <f>IF(AND(3*7+4-$I$2+1&gt;=1,3*7+4-$I$2+1&lt;=$I$3),3*7+4-$I$2+1,"")</f>
        <v/>
      </c>
      <c r="E14" s="551">
        <f>IF(AND(3*7+5-$I$2+1&gt;=1,3*7+5-$I$2+1&lt;=$I$3),3*7+5-$I$2+1,"")</f>
        <v/>
      </c>
      <c r="F14" s="552">
        <f>IF(AND(3*7+6-$I$2+1&gt;=1,3*7+6-$I$2+1&lt;=$I$3),3*7+6-$I$2+1,"")</f>
        <v/>
      </c>
      <c r="G14" s="552">
        <f>IF(AND(3*7+7-$I$2+1&gt;=1,3*7+7-$I$2+1&lt;=$I$3),3*7+7-$I$2+1,"")</f>
        <v/>
      </c>
    </row>
    <row r="15" ht="20" customHeight="1">
      <c r="A15" s="553">
        <f>IF(A14="","",IFERROR(INDEX('Seguimiento Diario'!$E$6:$E$36,A14)&amp;"%","-"))</f>
        <v/>
      </c>
      <c r="B15" s="553">
        <f>IF(B14="","",IFERROR(INDEX('Seguimiento Diario'!$E$6:$E$36,B14)&amp;"%","-"))</f>
        <v/>
      </c>
      <c r="C15" s="553">
        <f>IF(C14="","",IFERROR(INDEX('Seguimiento Diario'!$E$6:$E$36,C14)&amp;"%","-"))</f>
        <v/>
      </c>
      <c r="D15" s="553">
        <f>IF(D14="","",IFERROR(INDEX('Seguimiento Diario'!$E$6:$E$36,D14)&amp;"%","-"))</f>
        <v/>
      </c>
      <c r="E15" s="553">
        <f>IF(E14="","",IFERROR(INDEX('Seguimiento Diario'!$E$6:$E$36,E14)&amp;"%","-"))</f>
        <v/>
      </c>
      <c r="F15" s="554">
        <f>IF(F14="","",IFERROR(INDEX('Seguimiento Diario'!$E$6:$E$36,F14)&amp;"%","-"))</f>
        <v/>
      </c>
      <c r="G15" s="554">
        <f>IF(G14="","",IFERROR(INDEX('Seguimiento Diario'!$E$6:$E$36,G14)&amp;"%","-"))</f>
        <v/>
      </c>
    </row>
    <row r="16" ht="20" customHeight="1">
      <c r="A16" s="555">
        <f>IF(A14="","",IFERROR("$"&amp;TEXT(INDEX('Seguimiento Diario'!$H$6:$H$36,A14),"#,##0"),"-"))</f>
        <v/>
      </c>
      <c r="B16" s="555">
        <f>IF(B14="","",IFERROR("$"&amp;TEXT(INDEX('Seguimiento Diario'!$H$6:$H$36,B14),"#,##0"),"-"))</f>
        <v/>
      </c>
      <c r="C16" s="555">
        <f>IF(C14="","",IFERROR("$"&amp;TEXT(INDEX('Seguimiento Diario'!$H$6:$H$36,C14),"#,##0"),"-"))</f>
        <v/>
      </c>
      <c r="D16" s="555">
        <f>IF(D14="","",IFERROR("$"&amp;TEXT(INDEX('Seguimiento Diario'!$H$6:$H$36,D14),"#,##0"),"-"))</f>
        <v/>
      </c>
      <c r="E16" s="555">
        <f>IF(E14="","",IFERROR("$"&amp;TEXT(INDEX('Seguimiento Diario'!$H$6:$H$36,E14),"#,##0"),"-"))</f>
        <v/>
      </c>
      <c r="F16" s="556">
        <f>IF(F14="","",IFERROR("$"&amp;TEXT(INDEX('Seguimiento Diario'!$H$6:$H$36,F14),"#,##0"),"-"))</f>
        <v/>
      </c>
      <c r="G16" s="556">
        <f>IF(G14="","",IFERROR("$"&amp;TEXT(INDEX('Seguimiento Diario'!$H$6:$H$36,G14),"#,##0"),"-"))</f>
        <v/>
      </c>
    </row>
    <row r="17" ht="20" customHeight="1">
      <c r="A17" s="551">
        <f>IF(AND(4*7+1-$I$2+1&gt;=1,4*7+1-$I$2+1&lt;=$I$3),4*7+1-$I$2+1,"")</f>
        <v/>
      </c>
      <c r="B17" s="551">
        <f>IF(AND(4*7+2-$I$2+1&gt;=1,4*7+2-$I$2+1&lt;=$I$3),4*7+2-$I$2+1,"")</f>
        <v/>
      </c>
      <c r="C17" s="551">
        <f>IF(AND(4*7+3-$I$2+1&gt;=1,4*7+3-$I$2+1&lt;=$I$3),4*7+3-$I$2+1,"")</f>
        <v/>
      </c>
      <c r="D17" s="551">
        <f>IF(AND(4*7+4-$I$2+1&gt;=1,4*7+4-$I$2+1&lt;=$I$3),4*7+4-$I$2+1,"")</f>
        <v/>
      </c>
      <c r="E17" s="551">
        <f>IF(AND(4*7+5-$I$2+1&gt;=1,4*7+5-$I$2+1&lt;=$I$3),4*7+5-$I$2+1,"")</f>
        <v/>
      </c>
      <c r="F17" s="552">
        <f>IF(AND(4*7+6-$I$2+1&gt;=1,4*7+6-$I$2+1&lt;=$I$3),4*7+6-$I$2+1,"")</f>
        <v/>
      </c>
      <c r="G17" s="552">
        <f>IF(AND(4*7+7-$I$2+1&gt;=1,4*7+7-$I$2+1&lt;=$I$3),4*7+7-$I$2+1,"")</f>
        <v/>
      </c>
    </row>
    <row r="18" ht="20" customHeight="1">
      <c r="A18" s="553">
        <f>IF(A17="","",IFERROR(INDEX('Seguimiento Diario'!$E$6:$E$36,A17)&amp;"%","-"))</f>
        <v/>
      </c>
      <c r="B18" s="553">
        <f>IF(B17="","",IFERROR(INDEX('Seguimiento Diario'!$E$6:$E$36,B17)&amp;"%","-"))</f>
        <v/>
      </c>
      <c r="C18" s="553">
        <f>IF(C17="","",IFERROR(INDEX('Seguimiento Diario'!$E$6:$E$36,C17)&amp;"%","-"))</f>
        <v/>
      </c>
      <c r="D18" s="553">
        <f>IF(D17="","",IFERROR(INDEX('Seguimiento Diario'!$E$6:$E$36,D17)&amp;"%","-"))</f>
        <v/>
      </c>
      <c r="E18" s="553">
        <f>IF(E17="","",IFERROR(INDEX('Seguimiento Diario'!$E$6:$E$36,E17)&amp;"%","-"))</f>
        <v/>
      </c>
      <c r="F18" s="554">
        <f>IF(F17="","",IFERROR(INDEX('Seguimiento Diario'!$E$6:$E$36,F17)&amp;"%","-"))</f>
        <v/>
      </c>
      <c r="G18" s="554">
        <f>IF(G17="","",IFERROR(INDEX('Seguimiento Diario'!$E$6:$E$36,G17)&amp;"%","-"))</f>
        <v/>
      </c>
    </row>
    <row r="19" ht="20" customHeight="1">
      <c r="A19" s="555">
        <f>IF(A17="","",IFERROR("$"&amp;TEXT(INDEX('Seguimiento Diario'!$H$6:$H$36,A17),"#,##0"),"-"))</f>
        <v/>
      </c>
      <c r="B19" s="555">
        <f>IF(B17="","",IFERROR("$"&amp;TEXT(INDEX('Seguimiento Diario'!$H$6:$H$36,B17),"#,##0"),"-"))</f>
        <v/>
      </c>
      <c r="C19" s="555">
        <f>IF(C17="","",IFERROR("$"&amp;TEXT(INDEX('Seguimiento Diario'!$H$6:$H$36,C17),"#,##0"),"-"))</f>
        <v/>
      </c>
      <c r="D19" s="555">
        <f>IF(D17="","",IFERROR("$"&amp;TEXT(INDEX('Seguimiento Diario'!$H$6:$H$36,D17),"#,##0"),"-"))</f>
        <v/>
      </c>
      <c r="E19" s="555">
        <f>IF(E17="","",IFERROR("$"&amp;TEXT(INDEX('Seguimiento Diario'!$H$6:$H$36,E17),"#,##0"),"-"))</f>
        <v/>
      </c>
      <c r="F19" s="556">
        <f>IF(F17="","",IFERROR("$"&amp;TEXT(INDEX('Seguimiento Diario'!$H$6:$H$36,F17),"#,##0"),"-"))</f>
        <v/>
      </c>
      <c r="G19" s="556">
        <f>IF(G17="","",IFERROR("$"&amp;TEXT(INDEX('Seguimiento Diario'!$H$6:$H$36,G17),"#,##0"),"-"))</f>
        <v/>
      </c>
    </row>
    <row r="20" ht="20" customHeight="1">
      <c r="A20" s="551">
        <f>IF(AND(5*7+1-$I$2+1&gt;=1,5*7+1-$I$2+1&lt;=$I$3),5*7+1-$I$2+1,"")</f>
        <v/>
      </c>
      <c r="B20" s="551">
        <f>IF(AND(5*7+2-$I$2+1&gt;=1,5*7+2-$I$2+1&lt;=$I$3),5*7+2-$I$2+1,"")</f>
        <v/>
      </c>
      <c r="C20" s="551">
        <f>IF(AND(5*7+3-$I$2+1&gt;=1,5*7+3-$I$2+1&lt;=$I$3),5*7+3-$I$2+1,"")</f>
        <v/>
      </c>
      <c r="D20" s="551">
        <f>IF(AND(5*7+4-$I$2+1&gt;=1,5*7+4-$I$2+1&lt;=$I$3),5*7+4-$I$2+1,"")</f>
        <v/>
      </c>
      <c r="E20" s="551">
        <f>IF(AND(5*7+5-$I$2+1&gt;=1,5*7+5-$I$2+1&lt;=$I$3),5*7+5-$I$2+1,"")</f>
        <v/>
      </c>
      <c r="F20" s="552">
        <f>IF(AND(5*7+6-$I$2+1&gt;=1,5*7+6-$I$2+1&lt;=$I$3),5*7+6-$I$2+1,"")</f>
        <v/>
      </c>
      <c r="G20" s="552">
        <f>IF(AND(5*7+7-$I$2+1&gt;=1,5*7+7-$I$2+1&lt;=$I$3),5*7+7-$I$2+1,"")</f>
        <v/>
      </c>
    </row>
    <row r="21" ht="20" customHeight="1">
      <c r="A21" s="553">
        <f>IF(A20="","",IFERROR(INDEX('Seguimiento Diario'!$E$6:$E$36,A20)&amp;"%","-"))</f>
        <v/>
      </c>
      <c r="B21" s="553">
        <f>IF(B20="","",IFERROR(INDEX('Seguimiento Diario'!$E$6:$E$36,B20)&amp;"%","-"))</f>
        <v/>
      </c>
      <c r="C21" s="553">
        <f>IF(C20="","",IFERROR(INDEX('Seguimiento Diario'!$E$6:$E$36,C20)&amp;"%","-"))</f>
        <v/>
      </c>
      <c r="D21" s="553">
        <f>IF(D20="","",IFERROR(INDEX('Seguimiento Diario'!$E$6:$E$36,D20)&amp;"%","-"))</f>
        <v/>
      </c>
      <c r="E21" s="553">
        <f>IF(E20="","",IFERROR(INDEX('Seguimiento Diario'!$E$6:$E$36,E20)&amp;"%","-"))</f>
        <v/>
      </c>
      <c r="F21" s="554">
        <f>IF(F20="","",IFERROR(INDEX('Seguimiento Diario'!$E$6:$E$36,F20)&amp;"%","-"))</f>
        <v/>
      </c>
      <c r="G21" s="554">
        <f>IF(G20="","",IFERROR(INDEX('Seguimiento Diario'!$E$6:$E$36,G20)&amp;"%","-"))</f>
        <v/>
      </c>
    </row>
    <row r="22" ht="20" customHeight="1">
      <c r="A22" s="555">
        <f>IF(A20="","",IFERROR("$"&amp;TEXT(INDEX('Seguimiento Diario'!$H$6:$H$36,A20),"#,##0"),"-"))</f>
        <v/>
      </c>
      <c r="B22" s="555">
        <f>IF(B20="","",IFERROR("$"&amp;TEXT(INDEX('Seguimiento Diario'!$H$6:$H$36,B20),"#,##0"),"-"))</f>
        <v/>
      </c>
      <c r="C22" s="555">
        <f>IF(C20="","",IFERROR("$"&amp;TEXT(INDEX('Seguimiento Diario'!$H$6:$H$36,C20),"#,##0"),"-"))</f>
        <v/>
      </c>
      <c r="D22" s="555">
        <f>IF(D20="","",IFERROR("$"&amp;TEXT(INDEX('Seguimiento Diario'!$H$6:$H$36,D20),"#,##0"),"-"))</f>
        <v/>
      </c>
      <c r="E22" s="555">
        <f>IF(E20="","",IFERROR("$"&amp;TEXT(INDEX('Seguimiento Diario'!$H$6:$H$36,E20),"#,##0"),"-"))</f>
        <v/>
      </c>
      <c r="F22" s="556">
        <f>IF(F20="","",IFERROR("$"&amp;TEXT(INDEX('Seguimiento Diario'!$H$6:$H$36,F20),"#,##0"),"-"))</f>
        <v/>
      </c>
      <c r="G22" s="556">
        <f>IF(G20="","",IFERROR("$"&amp;TEXT(INDEX('Seguimiento Diario'!$H$6:$H$36,G20),"#,##0"),"-"))</f>
        <v/>
      </c>
    </row>
    <row r="24">
      <c r="A24" s="418" t="inlineStr">
        <is>
          <t>LEYENDA:</t>
        </is>
      </c>
      <c r="B24" s="557" t="inlineStr">
        <is>
          <t>🟢 80%+</t>
        </is>
      </c>
      <c r="C24" s="558" t="inlineStr">
        <is>
          <t>🟡 60-79%</t>
        </is>
      </c>
      <c r="D24" s="559" t="inlineStr">
        <is>
          <t>🔴 &lt;60%</t>
        </is>
      </c>
      <c r="F24" s="560" t="inlineStr">
        <is>
          <t>Sáb-Dom</t>
        </is>
      </c>
    </row>
    <row r="26">
      <c r="A26" s="502" t="inlineStr">
        <is>
          <t>RESUMEN DEL MES</t>
        </is>
      </c>
    </row>
    <row r="27">
      <c r="A27" t="inlineStr">
        <is>
          <t>Días capturados:</t>
        </is>
      </c>
      <c r="B27">
        <f>COUNTA('Seguimiento Diario'!E6:E36)&amp;" de "&amp;'Seguimiento Diario'!S6</f>
        <v/>
      </c>
    </row>
    <row r="28">
      <c r="A28" t="inlineStr">
        <is>
          <t>Ocupación promedio:</t>
        </is>
      </c>
      <c r="B28">
        <f>IFERROR(ROUND(AVERAGE('Seguimiento Diario'!E6:E36),1)&amp;"%","-")</f>
        <v/>
      </c>
    </row>
    <row r="29">
      <c r="A29" t="inlineStr">
        <is>
          <t>Ingresos totales:</t>
        </is>
      </c>
      <c r="B29">
        <f>"$"&amp;TEXT(SUM('Seguimiento Diario'!H6:H36),"#,##0")</f>
        <v/>
      </c>
    </row>
    <row r="30">
      <c r="A30" t="inlineStr">
        <is>
          <t>Días con ocupación &lt;60%:</t>
        </is>
      </c>
      <c r="B30" s="561">
        <f>COUNTIF('Seguimiento Diario'!E6:E36,"&lt;60")</f>
        <v/>
      </c>
    </row>
  </sheetData>
  <mergeCells count="2">
    <mergeCell ref="A2:G2"/>
    <mergeCell ref="A1:G1"/>
  </mergeCells>
  <conditionalFormatting sqref="A5:A7">
    <cfRule type="expression" priority="1" dxfId="1">
      <formula>VALUE(SUBSTITUTE(A6,"%",""))&gt;=80</formula>
    </cfRule>
    <cfRule type="expression" priority="2" dxfId="2">
      <formula>AND(VALUE(SUBSTITUTE(A6,"%",""))&gt;=60,VALUE(SUBSTITUTE(A6,"%",""))&lt;80)</formula>
    </cfRule>
    <cfRule type="expression" priority="3" dxfId="3">
      <formula>VALUE(SUBSTITUTE(A6,"%",""))&lt;60</formula>
    </cfRule>
  </conditionalFormatting>
  <conditionalFormatting sqref="B5:B7">
    <cfRule type="expression" priority="4" dxfId="1">
      <formula>VALUE(SUBSTITUTE(B6,"%",""))&gt;=80</formula>
    </cfRule>
    <cfRule type="expression" priority="5" dxfId="2">
      <formula>AND(VALUE(SUBSTITUTE(B6,"%",""))&gt;=60,VALUE(SUBSTITUTE(B6,"%",""))&lt;80)</formula>
    </cfRule>
    <cfRule type="expression" priority="6" dxfId="3">
      <formula>VALUE(SUBSTITUTE(B6,"%",""))&lt;60</formula>
    </cfRule>
  </conditionalFormatting>
  <conditionalFormatting sqref="C5:C7">
    <cfRule type="expression" priority="7" dxfId="1">
      <formula>VALUE(SUBSTITUTE(C6,"%",""))&gt;=80</formula>
    </cfRule>
    <cfRule type="expression" priority="8" dxfId="2">
      <formula>AND(VALUE(SUBSTITUTE(C6,"%",""))&gt;=60,VALUE(SUBSTITUTE(C6,"%",""))&lt;80)</formula>
    </cfRule>
    <cfRule type="expression" priority="9" dxfId="3">
      <formula>VALUE(SUBSTITUTE(C6,"%",""))&lt;60</formula>
    </cfRule>
  </conditionalFormatting>
  <conditionalFormatting sqref="D5:D7">
    <cfRule type="expression" priority="10" dxfId="1">
      <formula>VALUE(SUBSTITUTE(D6,"%",""))&gt;=80</formula>
    </cfRule>
    <cfRule type="expression" priority="11" dxfId="2">
      <formula>AND(VALUE(SUBSTITUTE(D6,"%",""))&gt;=60,VALUE(SUBSTITUTE(D6,"%",""))&lt;80)</formula>
    </cfRule>
    <cfRule type="expression" priority="12" dxfId="3">
      <formula>VALUE(SUBSTITUTE(D6,"%",""))&lt;60</formula>
    </cfRule>
  </conditionalFormatting>
  <conditionalFormatting sqref="E5:E7">
    <cfRule type="expression" priority="13" dxfId="1">
      <formula>VALUE(SUBSTITUTE(E6,"%",""))&gt;=80</formula>
    </cfRule>
    <cfRule type="expression" priority="14" dxfId="2">
      <formula>AND(VALUE(SUBSTITUTE(E6,"%",""))&gt;=60,VALUE(SUBSTITUTE(E6,"%",""))&lt;80)</formula>
    </cfRule>
    <cfRule type="expression" priority="15" dxfId="3">
      <formula>VALUE(SUBSTITUTE(E6,"%",""))&lt;60</formula>
    </cfRule>
  </conditionalFormatting>
  <conditionalFormatting sqref="F5:F7">
    <cfRule type="expression" priority="16" dxfId="1">
      <formula>VALUE(SUBSTITUTE(F6,"%",""))&gt;=80</formula>
    </cfRule>
    <cfRule type="expression" priority="17" dxfId="2">
      <formula>AND(VALUE(SUBSTITUTE(F6,"%",""))&gt;=60,VALUE(SUBSTITUTE(F6,"%",""))&lt;80)</formula>
    </cfRule>
    <cfRule type="expression" priority="18" dxfId="3">
      <formula>VALUE(SUBSTITUTE(F6,"%",""))&lt;60</formula>
    </cfRule>
  </conditionalFormatting>
  <conditionalFormatting sqref="G5:G7">
    <cfRule type="expression" priority="19" dxfId="1">
      <formula>VALUE(SUBSTITUTE(G6,"%",""))&gt;=80</formula>
    </cfRule>
    <cfRule type="expression" priority="20" dxfId="2">
      <formula>AND(VALUE(SUBSTITUTE(G6,"%",""))&gt;=60,VALUE(SUBSTITUTE(G6,"%",""))&lt;80)</formula>
    </cfRule>
    <cfRule type="expression" priority="21" dxfId="3">
      <formula>VALUE(SUBSTITUTE(G6,"%",""))&lt;60</formula>
    </cfRule>
  </conditionalFormatting>
  <conditionalFormatting sqref="A8:A10">
    <cfRule type="expression" priority="22" dxfId="1">
      <formula>VALUE(SUBSTITUTE(A9,"%",""))&gt;=80</formula>
    </cfRule>
    <cfRule type="expression" priority="23" dxfId="2">
      <formula>AND(VALUE(SUBSTITUTE(A9,"%",""))&gt;=60,VALUE(SUBSTITUTE(A9,"%",""))&lt;80)</formula>
    </cfRule>
    <cfRule type="expression" priority="24" dxfId="3">
      <formula>VALUE(SUBSTITUTE(A9,"%",""))&lt;60</formula>
    </cfRule>
  </conditionalFormatting>
  <conditionalFormatting sqref="B8:B10">
    <cfRule type="expression" priority="25" dxfId="1">
      <formula>VALUE(SUBSTITUTE(B9,"%",""))&gt;=80</formula>
    </cfRule>
    <cfRule type="expression" priority="26" dxfId="2">
      <formula>AND(VALUE(SUBSTITUTE(B9,"%",""))&gt;=60,VALUE(SUBSTITUTE(B9,"%",""))&lt;80)</formula>
    </cfRule>
    <cfRule type="expression" priority="27" dxfId="3">
      <formula>VALUE(SUBSTITUTE(B9,"%",""))&lt;60</formula>
    </cfRule>
  </conditionalFormatting>
  <conditionalFormatting sqref="C8:C10">
    <cfRule type="expression" priority="28" dxfId="1">
      <formula>VALUE(SUBSTITUTE(C9,"%",""))&gt;=80</formula>
    </cfRule>
    <cfRule type="expression" priority="29" dxfId="2">
      <formula>AND(VALUE(SUBSTITUTE(C9,"%",""))&gt;=60,VALUE(SUBSTITUTE(C9,"%",""))&lt;80)</formula>
    </cfRule>
    <cfRule type="expression" priority="30" dxfId="3">
      <formula>VALUE(SUBSTITUTE(C9,"%",""))&lt;60</formula>
    </cfRule>
  </conditionalFormatting>
  <conditionalFormatting sqref="D8:D10">
    <cfRule type="expression" priority="31" dxfId="1">
      <formula>VALUE(SUBSTITUTE(D9,"%",""))&gt;=80</formula>
    </cfRule>
    <cfRule type="expression" priority="32" dxfId="2">
      <formula>AND(VALUE(SUBSTITUTE(D9,"%",""))&gt;=60,VALUE(SUBSTITUTE(D9,"%",""))&lt;80)</formula>
    </cfRule>
    <cfRule type="expression" priority="33" dxfId="3">
      <formula>VALUE(SUBSTITUTE(D9,"%",""))&lt;60</formula>
    </cfRule>
  </conditionalFormatting>
  <conditionalFormatting sqref="E8:E10">
    <cfRule type="expression" priority="34" dxfId="1">
      <formula>VALUE(SUBSTITUTE(E9,"%",""))&gt;=80</formula>
    </cfRule>
    <cfRule type="expression" priority="35" dxfId="2">
      <formula>AND(VALUE(SUBSTITUTE(E9,"%",""))&gt;=60,VALUE(SUBSTITUTE(E9,"%",""))&lt;80)</formula>
    </cfRule>
    <cfRule type="expression" priority="36" dxfId="3">
      <formula>VALUE(SUBSTITUTE(E9,"%",""))&lt;60</formula>
    </cfRule>
  </conditionalFormatting>
  <conditionalFormatting sqref="F8:F10">
    <cfRule type="expression" priority="37" dxfId="1">
      <formula>VALUE(SUBSTITUTE(F9,"%",""))&gt;=80</formula>
    </cfRule>
    <cfRule type="expression" priority="38" dxfId="2">
      <formula>AND(VALUE(SUBSTITUTE(F9,"%",""))&gt;=60,VALUE(SUBSTITUTE(F9,"%",""))&lt;80)</formula>
    </cfRule>
    <cfRule type="expression" priority="39" dxfId="3">
      <formula>VALUE(SUBSTITUTE(F9,"%",""))&lt;60</formula>
    </cfRule>
  </conditionalFormatting>
  <conditionalFormatting sqref="G8:G10">
    <cfRule type="expression" priority="40" dxfId="1">
      <formula>VALUE(SUBSTITUTE(G9,"%",""))&gt;=80</formula>
    </cfRule>
    <cfRule type="expression" priority="41" dxfId="2">
      <formula>AND(VALUE(SUBSTITUTE(G9,"%",""))&gt;=60,VALUE(SUBSTITUTE(G9,"%",""))&lt;80)</formula>
    </cfRule>
    <cfRule type="expression" priority="42" dxfId="3">
      <formula>VALUE(SUBSTITUTE(G9,"%",""))&lt;60</formula>
    </cfRule>
  </conditionalFormatting>
  <conditionalFormatting sqref="A11:A13">
    <cfRule type="expression" priority="43" dxfId="1">
      <formula>VALUE(SUBSTITUTE(A12,"%",""))&gt;=80</formula>
    </cfRule>
    <cfRule type="expression" priority="44" dxfId="2">
      <formula>AND(VALUE(SUBSTITUTE(A12,"%",""))&gt;=60,VALUE(SUBSTITUTE(A12,"%",""))&lt;80)</formula>
    </cfRule>
    <cfRule type="expression" priority="45" dxfId="3">
      <formula>VALUE(SUBSTITUTE(A12,"%",""))&lt;60</formula>
    </cfRule>
  </conditionalFormatting>
  <conditionalFormatting sqref="B11:B13">
    <cfRule type="expression" priority="46" dxfId="1">
      <formula>VALUE(SUBSTITUTE(B12,"%",""))&gt;=80</formula>
    </cfRule>
    <cfRule type="expression" priority="47" dxfId="2">
      <formula>AND(VALUE(SUBSTITUTE(B12,"%",""))&gt;=60,VALUE(SUBSTITUTE(B12,"%",""))&lt;80)</formula>
    </cfRule>
    <cfRule type="expression" priority="48" dxfId="3">
      <formula>VALUE(SUBSTITUTE(B12,"%",""))&lt;60</formula>
    </cfRule>
  </conditionalFormatting>
  <conditionalFormatting sqref="C11:C13">
    <cfRule type="expression" priority="49" dxfId="1">
      <formula>VALUE(SUBSTITUTE(C12,"%",""))&gt;=80</formula>
    </cfRule>
    <cfRule type="expression" priority="50" dxfId="2">
      <formula>AND(VALUE(SUBSTITUTE(C12,"%",""))&gt;=60,VALUE(SUBSTITUTE(C12,"%",""))&lt;80)</formula>
    </cfRule>
    <cfRule type="expression" priority="51" dxfId="3">
      <formula>VALUE(SUBSTITUTE(C12,"%",""))&lt;60</formula>
    </cfRule>
  </conditionalFormatting>
  <conditionalFormatting sqref="D11:D13">
    <cfRule type="expression" priority="52" dxfId="1">
      <formula>VALUE(SUBSTITUTE(D12,"%",""))&gt;=80</formula>
    </cfRule>
    <cfRule type="expression" priority="53" dxfId="2">
      <formula>AND(VALUE(SUBSTITUTE(D12,"%",""))&gt;=60,VALUE(SUBSTITUTE(D12,"%",""))&lt;80)</formula>
    </cfRule>
    <cfRule type="expression" priority="54" dxfId="3">
      <formula>VALUE(SUBSTITUTE(D12,"%",""))&lt;60</formula>
    </cfRule>
  </conditionalFormatting>
  <conditionalFormatting sqref="E11:E13">
    <cfRule type="expression" priority="55" dxfId="1">
      <formula>VALUE(SUBSTITUTE(E12,"%",""))&gt;=80</formula>
    </cfRule>
    <cfRule type="expression" priority="56" dxfId="2">
      <formula>AND(VALUE(SUBSTITUTE(E12,"%",""))&gt;=60,VALUE(SUBSTITUTE(E12,"%",""))&lt;80)</formula>
    </cfRule>
    <cfRule type="expression" priority="57" dxfId="3">
      <formula>VALUE(SUBSTITUTE(E12,"%",""))&lt;60</formula>
    </cfRule>
  </conditionalFormatting>
  <conditionalFormatting sqref="F11:F13">
    <cfRule type="expression" priority="58" dxfId="1">
      <formula>VALUE(SUBSTITUTE(F12,"%",""))&gt;=80</formula>
    </cfRule>
    <cfRule type="expression" priority="59" dxfId="2">
      <formula>AND(VALUE(SUBSTITUTE(F12,"%",""))&gt;=60,VALUE(SUBSTITUTE(F12,"%",""))&lt;80)</formula>
    </cfRule>
    <cfRule type="expression" priority="60" dxfId="3">
      <formula>VALUE(SUBSTITUTE(F12,"%",""))&lt;60</formula>
    </cfRule>
  </conditionalFormatting>
  <conditionalFormatting sqref="G11:G13">
    <cfRule type="expression" priority="61" dxfId="1">
      <formula>VALUE(SUBSTITUTE(G12,"%",""))&gt;=80</formula>
    </cfRule>
    <cfRule type="expression" priority="62" dxfId="2">
      <formula>AND(VALUE(SUBSTITUTE(G12,"%",""))&gt;=60,VALUE(SUBSTITUTE(G12,"%",""))&lt;80)</formula>
    </cfRule>
    <cfRule type="expression" priority="63" dxfId="3">
      <formula>VALUE(SUBSTITUTE(G12,"%",""))&lt;60</formula>
    </cfRule>
  </conditionalFormatting>
  <conditionalFormatting sqref="A14:A16">
    <cfRule type="expression" priority="64" dxfId="1">
      <formula>VALUE(SUBSTITUTE(A15,"%",""))&gt;=80</formula>
    </cfRule>
    <cfRule type="expression" priority="65" dxfId="2">
      <formula>AND(VALUE(SUBSTITUTE(A15,"%",""))&gt;=60,VALUE(SUBSTITUTE(A15,"%",""))&lt;80)</formula>
    </cfRule>
    <cfRule type="expression" priority="66" dxfId="3">
      <formula>VALUE(SUBSTITUTE(A15,"%",""))&lt;60</formula>
    </cfRule>
  </conditionalFormatting>
  <conditionalFormatting sqref="B14:B16">
    <cfRule type="expression" priority="67" dxfId="1">
      <formula>VALUE(SUBSTITUTE(B15,"%",""))&gt;=80</formula>
    </cfRule>
    <cfRule type="expression" priority="68" dxfId="2">
      <formula>AND(VALUE(SUBSTITUTE(B15,"%",""))&gt;=60,VALUE(SUBSTITUTE(B15,"%",""))&lt;80)</formula>
    </cfRule>
    <cfRule type="expression" priority="69" dxfId="3">
      <formula>VALUE(SUBSTITUTE(B15,"%",""))&lt;60</formula>
    </cfRule>
  </conditionalFormatting>
  <conditionalFormatting sqref="C14:C16">
    <cfRule type="expression" priority="70" dxfId="1">
      <formula>VALUE(SUBSTITUTE(C15,"%",""))&gt;=80</formula>
    </cfRule>
    <cfRule type="expression" priority="71" dxfId="2">
      <formula>AND(VALUE(SUBSTITUTE(C15,"%",""))&gt;=60,VALUE(SUBSTITUTE(C15,"%",""))&lt;80)</formula>
    </cfRule>
    <cfRule type="expression" priority="72" dxfId="3">
      <formula>VALUE(SUBSTITUTE(C15,"%",""))&lt;60</formula>
    </cfRule>
  </conditionalFormatting>
  <conditionalFormatting sqref="D14:D16">
    <cfRule type="expression" priority="73" dxfId="1">
      <formula>VALUE(SUBSTITUTE(D15,"%",""))&gt;=80</formula>
    </cfRule>
    <cfRule type="expression" priority="74" dxfId="2">
      <formula>AND(VALUE(SUBSTITUTE(D15,"%",""))&gt;=60,VALUE(SUBSTITUTE(D15,"%",""))&lt;80)</formula>
    </cfRule>
    <cfRule type="expression" priority="75" dxfId="3">
      <formula>VALUE(SUBSTITUTE(D15,"%",""))&lt;60</formula>
    </cfRule>
  </conditionalFormatting>
  <conditionalFormatting sqref="E14:E16">
    <cfRule type="expression" priority="76" dxfId="1">
      <formula>VALUE(SUBSTITUTE(E15,"%",""))&gt;=80</formula>
    </cfRule>
    <cfRule type="expression" priority="77" dxfId="2">
      <formula>AND(VALUE(SUBSTITUTE(E15,"%",""))&gt;=60,VALUE(SUBSTITUTE(E15,"%",""))&lt;80)</formula>
    </cfRule>
    <cfRule type="expression" priority="78" dxfId="3">
      <formula>VALUE(SUBSTITUTE(E15,"%",""))&lt;60</formula>
    </cfRule>
  </conditionalFormatting>
  <conditionalFormatting sqref="F14:F16">
    <cfRule type="expression" priority="79" dxfId="1">
      <formula>VALUE(SUBSTITUTE(F15,"%",""))&gt;=80</formula>
    </cfRule>
    <cfRule type="expression" priority="80" dxfId="2">
      <formula>AND(VALUE(SUBSTITUTE(F15,"%",""))&gt;=60,VALUE(SUBSTITUTE(F15,"%",""))&lt;80)</formula>
    </cfRule>
    <cfRule type="expression" priority="81" dxfId="3">
      <formula>VALUE(SUBSTITUTE(F15,"%",""))&lt;60</formula>
    </cfRule>
  </conditionalFormatting>
  <conditionalFormatting sqref="G14:G16">
    <cfRule type="expression" priority="82" dxfId="1">
      <formula>VALUE(SUBSTITUTE(G15,"%",""))&gt;=80</formula>
    </cfRule>
    <cfRule type="expression" priority="83" dxfId="2">
      <formula>AND(VALUE(SUBSTITUTE(G15,"%",""))&gt;=60,VALUE(SUBSTITUTE(G15,"%",""))&lt;80)</formula>
    </cfRule>
    <cfRule type="expression" priority="84" dxfId="3">
      <formula>VALUE(SUBSTITUTE(G15,"%",""))&lt;60</formula>
    </cfRule>
  </conditionalFormatting>
  <conditionalFormatting sqref="A17:A19">
    <cfRule type="expression" priority="85" dxfId="1">
      <formula>VALUE(SUBSTITUTE(A18,"%",""))&gt;=80</formula>
    </cfRule>
    <cfRule type="expression" priority="86" dxfId="2">
      <formula>AND(VALUE(SUBSTITUTE(A18,"%",""))&gt;=60,VALUE(SUBSTITUTE(A18,"%",""))&lt;80)</formula>
    </cfRule>
    <cfRule type="expression" priority="87" dxfId="3">
      <formula>VALUE(SUBSTITUTE(A18,"%",""))&lt;60</formula>
    </cfRule>
  </conditionalFormatting>
  <conditionalFormatting sqref="B17:B19">
    <cfRule type="expression" priority="88" dxfId="1">
      <formula>VALUE(SUBSTITUTE(B18,"%",""))&gt;=80</formula>
    </cfRule>
    <cfRule type="expression" priority="89" dxfId="2">
      <formula>AND(VALUE(SUBSTITUTE(B18,"%",""))&gt;=60,VALUE(SUBSTITUTE(B18,"%",""))&lt;80)</formula>
    </cfRule>
    <cfRule type="expression" priority="90" dxfId="3">
      <formula>VALUE(SUBSTITUTE(B18,"%",""))&lt;60</formula>
    </cfRule>
  </conditionalFormatting>
  <conditionalFormatting sqref="C17:C19">
    <cfRule type="expression" priority="91" dxfId="1">
      <formula>VALUE(SUBSTITUTE(C18,"%",""))&gt;=80</formula>
    </cfRule>
    <cfRule type="expression" priority="92" dxfId="2">
      <formula>AND(VALUE(SUBSTITUTE(C18,"%",""))&gt;=60,VALUE(SUBSTITUTE(C18,"%",""))&lt;80)</formula>
    </cfRule>
    <cfRule type="expression" priority="93" dxfId="3">
      <formula>VALUE(SUBSTITUTE(C18,"%",""))&lt;60</formula>
    </cfRule>
  </conditionalFormatting>
  <conditionalFormatting sqref="D17:D19">
    <cfRule type="expression" priority="94" dxfId="1">
      <formula>VALUE(SUBSTITUTE(D18,"%",""))&gt;=80</formula>
    </cfRule>
    <cfRule type="expression" priority="95" dxfId="2">
      <formula>AND(VALUE(SUBSTITUTE(D18,"%",""))&gt;=60,VALUE(SUBSTITUTE(D18,"%",""))&lt;80)</formula>
    </cfRule>
    <cfRule type="expression" priority="96" dxfId="3">
      <formula>VALUE(SUBSTITUTE(D18,"%",""))&lt;60</formula>
    </cfRule>
  </conditionalFormatting>
  <conditionalFormatting sqref="E17:E19">
    <cfRule type="expression" priority="97" dxfId="1">
      <formula>VALUE(SUBSTITUTE(E18,"%",""))&gt;=80</formula>
    </cfRule>
    <cfRule type="expression" priority="98" dxfId="2">
      <formula>AND(VALUE(SUBSTITUTE(E18,"%",""))&gt;=60,VALUE(SUBSTITUTE(E18,"%",""))&lt;80)</formula>
    </cfRule>
    <cfRule type="expression" priority="99" dxfId="3">
      <formula>VALUE(SUBSTITUTE(E18,"%",""))&lt;60</formula>
    </cfRule>
  </conditionalFormatting>
  <conditionalFormatting sqref="F17:F19">
    <cfRule type="expression" priority="100" dxfId="1">
      <formula>VALUE(SUBSTITUTE(F18,"%",""))&gt;=80</formula>
    </cfRule>
    <cfRule type="expression" priority="101" dxfId="2">
      <formula>AND(VALUE(SUBSTITUTE(F18,"%",""))&gt;=60,VALUE(SUBSTITUTE(F18,"%",""))&lt;80)</formula>
    </cfRule>
    <cfRule type="expression" priority="102" dxfId="3">
      <formula>VALUE(SUBSTITUTE(F18,"%",""))&lt;60</formula>
    </cfRule>
  </conditionalFormatting>
  <conditionalFormatting sqref="G17:G19">
    <cfRule type="expression" priority="103" dxfId="1">
      <formula>VALUE(SUBSTITUTE(G18,"%",""))&gt;=80</formula>
    </cfRule>
    <cfRule type="expression" priority="104" dxfId="2">
      <formula>AND(VALUE(SUBSTITUTE(G18,"%",""))&gt;=60,VALUE(SUBSTITUTE(G18,"%",""))&lt;80)</formula>
    </cfRule>
    <cfRule type="expression" priority="105" dxfId="3">
      <formula>VALUE(SUBSTITUTE(G18,"%",""))&lt;60</formula>
    </cfRule>
  </conditionalFormatting>
  <conditionalFormatting sqref="A20:A22">
    <cfRule type="expression" priority="106" dxfId="1">
      <formula>VALUE(SUBSTITUTE(A21,"%",""))&gt;=80</formula>
    </cfRule>
    <cfRule type="expression" priority="107" dxfId="2">
      <formula>AND(VALUE(SUBSTITUTE(A21,"%",""))&gt;=60,VALUE(SUBSTITUTE(A21,"%",""))&lt;80)</formula>
    </cfRule>
    <cfRule type="expression" priority="108" dxfId="3">
      <formula>VALUE(SUBSTITUTE(A21,"%",""))&lt;60</formula>
    </cfRule>
  </conditionalFormatting>
  <conditionalFormatting sqref="B20:B22">
    <cfRule type="expression" priority="109" dxfId="1">
      <formula>VALUE(SUBSTITUTE(B21,"%",""))&gt;=80</formula>
    </cfRule>
    <cfRule type="expression" priority="110" dxfId="2">
      <formula>AND(VALUE(SUBSTITUTE(B21,"%",""))&gt;=60,VALUE(SUBSTITUTE(B21,"%",""))&lt;80)</formula>
    </cfRule>
    <cfRule type="expression" priority="111" dxfId="3">
      <formula>VALUE(SUBSTITUTE(B21,"%",""))&lt;60</formula>
    </cfRule>
  </conditionalFormatting>
  <conditionalFormatting sqref="C20:C22">
    <cfRule type="expression" priority="112" dxfId="1">
      <formula>VALUE(SUBSTITUTE(C21,"%",""))&gt;=80</formula>
    </cfRule>
    <cfRule type="expression" priority="113" dxfId="2">
      <formula>AND(VALUE(SUBSTITUTE(C21,"%",""))&gt;=60,VALUE(SUBSTITUTE(C21,"%",""))&lt;80)</formula>
    </cfRule>
    <cfRule type="expression" priority="114" dxfId="3">
      <formula>VALUE(SUBSTITUTE(C21,"%",""))&lt;60</formula>
    </cfRule>
  </conditionalFormatting>
  <conditionalFormatting sqref="D20:D22">
    <cfRule type="expression" priority="115" dxfId="1">
      <formula>VALUE(SUBSTITUTE(D21,"%",""))&gt;=80</formula>
    </cfRule>
    <cfRule type="expression" priority="116" dxfId="2">
      <formula>AND(VALUE(SUBSTITUTE(D21,"%",""))&gt;=60,VALUE(SUBSTITUTE(D21,"%",""))&lt;80)</formula>
    </cfRule>
    <cfRule type="expression" priority="117" dxfId="3">
      <formula>VALUE(SUBSTITUTE(D21,"%",""))&lt;60</formula>
    </cfRule>
  </conditionalFormatting>
  <conditionalFormatting sqref="E20:E22">
    <cfRule type="expression" priority="118" dxfId="1">
      <formula>VALUE(SUBSTITUTE(E21,"%",""))&gt;=80</formula>
    </cfRule>
    <cfRule type="expression" priority="119" dxfId="2">
      <formula>AND(VALUE(SUBSTITUTE(E21,"%",""))&gt;=60,VALUE(SUBSTITUTE(E21,"%",""))&lt;80)</formula>
    </cfRule>
    <cfRule type="expression" priority="120" dxfId="3">
      <formula>VALUE(SUBSTITUTE(E21,"%",""))&lt;60</formula>
    </cfRule>
  </conditionalFormatting>
  <conditionalFormatting sqref="F20:F22">
    <cfRule type="expression" priority="121" dxfId="1">
      <formula>VALUE(SUBSTITUTE(F21,"%",""))&gt;=80</formula>
    </cfRule>
    <cfRule type="expression" priority="122" dxfId="2">
      <formula>AND(VALUE(SUBSTITUTE(F21,"%",""))&gt;=60,VALUE(SUBSTITUTE(F21,"%",""))&lt;80)</formula>
    </cfRule>
    <cfRule type="expression" priority="123" dxfId="3">
      <formula>VALUE(SUBSTITUTE(F21,"%",""))&lt;60</formula>
    </cfRule>
  </conditionalFormatting>
  <conditionalFormatting sqref="G20:G22">
    <cfRule type="expression" priority="124" dxfId="1">
      <formula>VALUE(SUBSTITUTE(G21,"%",""))&gt;=80</formula>
    </cfRule>
    <cfRule type="expression" priority="125" dxfId="2">
      <formula>AND(VALUE(SUBSTITUTE(G21,"%",""))&gt;=60,VALUE(SUBSTITUTE(G21,"%",""))&lt;80)</formula>
    </cfRule>
    <cfRule type="expression" priority="126" dxfId="3">
      <formula>VALUE(SUBSTITUTE(G21,"%",""))&lt;60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zoomScale="90" workbookViewId="0">
      <pane ySplit="4" topLeftCell="A5" activePane="bottomLeft" state="frozen"/>
      <selection pane="bottomLeft" activeCell="H34" sqref="H34"/>
    </sheetView>
  </sheetViews>
  <sheetFormatPr baseColWidth="8" defaultColWidth="11.42578125" defaultRowHeight="15"/>
  <cols>
    <col width="16.140625" customWidth="1" min="1" max="1"/>
    <col width="13.28515625" customWidth="1" min="2" max="7"/>
    <col width="11.42578125" customWidth="1" min="8" max="8"/>
    <col width="16.140625" customWidth="1" min="9" max="11"/>
    <col width="12.42578125" customWidth="1" min="12" max="19"/>
    <col hidden="1" width="15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1" customHeight="1">
      <c r="A1" s="211" t="inlineStr">
        <is>
          <t>REPORTE HISTÓRICO Y PRONÓSTICO DE HABITACIONES</t>
        </is>
      </c>
      <c r="B1" s="212" t="n"/>
      <c r="C1" s="212" t="n"/>
      <c r="D1" s="212" t="n"/>
      <c r="E1" s="212" t="n"/>
      <c r="F1" s="212" t="n"/>
      <c r="G1" s="212" t="n"/>
      <c r="H1" s="212" t="n"/>
      <c r="I1" s="212" t="n"/>
      <c r="J1" s="212" t="n"/>
      <c r="K1" s="212" t="n"/>
      <c r="L1" s="212" t="n"/>
      <c r="M1" s="212" t="n"/>
      <c r="N1" s="212" t="n"/>
      <c r="O1" s="212" t="n"/>
      <c r="P1" s="212" t="n"/>
      <c r="Q1" s="212" t="n"/>
      <c r="R1" s="212" t="n"/>
      <c r="S1" s="212" t="n"/>
      <c r="T1" s="213" t="n"/>
      <c r="U1" s="213" t="n"/>
      <c r="V1" s="213" t="n"/>
      <c r="W1" s="213" t="n"/>
      <c r="X1" s="213" t="n"/>
      <c r="Y1" s="213" t="n"/>
      <c r="Z1" s="213" t="n"/>
    </row>
    <row r="2">
      <c r="A2" s="214" t="inlineStr">
        <is>
          <t>Propiedad: INH3RI  |  Período: 01-Feb-2026 al 28-Feb-2026  |  Habitaciones: 85</t>
        </is>
      </c>
      <c r="B2" s="215" t="n"/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5" t="n"/>
      <c r="M2" s="215" t="n"/>
      <c r="N2" s="215" t="n"/>
      <c r="O2" s="215" t="n"/>
      <c r="P2" s="215" t="n"/>
      <c r="Q2" s="215" t="n"/>
      <c r="R2" s="215" t="n"/>
      <c r="S2" s="215" t="n"/>
      <c r="T2" s="213" t="n"/>
      <c r="U2" s="213" t="n"/>
      <c r="V2" s="213" t="n"/>
      <c r="W2" s="213" t="n"/>
      <c r="X2" s="213" t="n"/>
      <c r="Y2" s="213" t="n"/>
      <c r="Z2" s="213" t="n"/>
    </row>
    <row r="3">
      <c r="A3" s="213" t="n"/>
      <c r="B3" s="213" t="n"/>
      <c r="C3" s="213" t="n"/>
      <c r="D3" s="213" t="n"/>
      <c r="E3" s="213" t="n"/>
      <c r="F3" s="213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  <c r="W3" s="213" t="n"/>
      <c r="X3" s="213" t="n"/>
      <c r="Y3" s="213" t="n"/>
      <c r="Z3" s="213" t="n"/>
    </row>
    <row r="4">
      <c r="A4" s="421" t="inlineStr">
        <is>
          <t>FECHA</t>
        </is>
      </c>
      <c r="B4" s="421" t="inlineStr">
        <is>
          <t>OCC REAL</t>
        </is>
      </c>
      <c r="C4" s="421" t="inlineStr">
        <is>
          <t>PRONÓSTICO</t>
        </is>
      </c>
      <c r="D4" s="421" t="inlineStr">
        <is>
          <t>LLEGADAS</t>
        </is>
      </c>
      <c r="E4" s="421" t="inlineStr">
        <is>
          <t>SALIDAS</t>
        </is>
      </c>
      <c r="F4" s="421" t="inlineStr">
        <is>
          <t>VACANTES</t>
        </is>
      </c>
      <c r="G4" s="421" t="inlineStr">
        <is>
          <t>DISPONIBLES</t>
        </is>
      </c>
      <c r="H4" s="421" t="inlineStr">
        <is>
          <t>% OCC</t>
        </is>
      </c>
      <c r="I4" s="421" t="inlineStr">
        <is>
          <t>INGRESOS ($)</t>
        </is>
      </c>
      <c r="J4" s="421" t="inlineStr">
        <is>
          <t>TARIFA MEDIA</t>
        </is>
      </c>
      <c r="K4" s="421" t="inlineStr">
        <is>
          <t>REVPAR</t>
        </is>
      </c>
      <c r="L4" s="421" t="inlineStr">
        <is>
          <t>COMPS</t>
        </is>
      </c>
      <c r="M4" s="421" t="inlineStr">
        <is>
          <t>USO CASA</t>
        </is>
      </c>
      <c r="N4" s="421" t="inlineStr">
        <is>
          <t>USO DÍA</t>
        </is>
      </c>
      <c r="O4" s="421" t="inlineStr">
        <is>
          <t>NO SHOW</t>
        </is>
      </c>
      <c r="P4" s="421" t="inlineStr">
        <is>
          <t>ADULTOS</t>
        </is>
      </c>
      <c r="Q4" s="421" t="inlineStr">
        <is>
          <t>JUVENILES</t>
        </is>
      </c>
      <c r="R4" s="421" t="inlineStr">
        <is>
          <t>NIÑOS</t>
        </is>
      </c>
      <c r="S4" s="421" t="inlineStr">
        <is>
          <t>INFANTES</t>
        </is>
      </c>
      <c r="T4" s="421" t="inlineStr">
        <is>
          <t>VAR vs PRON</t>
        </is>
      </c>
      <c r="U4" s="421" t="inlineStr">
        <is>
          <t>INGRESO/HUÉSPED</t>
        </is>
      </c>
      <c r="V4" s="421" t="inlineStr">
        <is>
          <t>TASA ROTACIÓN</t>
        </is>
      </c>
      <c r="W4" s="421" t="inlineStr">
        <is>
          <t>VACANTES ACUM</t>
        </is>
      </c>
      <c r="X4" s="422" t="n"/>
      <c r="Y4" s="422" t="n"/>
      <c r="Z4" s="422" t="n"/>
    </row>
    <row r="5">
      <c r="A5" s="423">
        <f>DATE('Seguimiento Diario'!$S$4,VALUE(LEFT('Seguimiento Diario'!$S$3,FIND("-",'Seguimiento Diario'!$S$3)-1)),1)</f>
        <v/>
      </c>
      <c r="B5" s="424">
        <f>'Seguimiento Diario'!E6</f>
        <v/>
      </c>
      <c r="C5" s="424">
        <f>'Seguimiento Diario'!D6</f>
        <v/>
      </c>
      <c r="D5" s="424" t="n">
        <v>69</v>
      </c>
      <c r="E5" s="425" t="n">
        <v>91</v>
      </c>
      <c r="F5" s="426">
        <f>'Seguimiento Diario'!L6</f>
        <v/>
      </c>
      <c r="G5" s="424" t="n">
        <v>85</v>
      </c>
      <c r="H5" s="427">
        <f>B5/G5</f>
        <v/>
      </c>
      <c r="I5" s="428">
        <f>'Seguimiento Diario'!H6</f>
        <v/>
      </c>
      <c r="J5" s="428">
        <f>'Seguimiento Diario'!G6</f>
        <v/>
      </c>
      <c r="K5" s="428">
        <f>I5/G5</f>
        <v/>
      </c>
      <c r="L5" s="424" t="n">
        <v>0</v>
      </c>
      <c r="M5" s="424" t="n">
        <v>0</v>
      </c>
      <c r="N5" s="424" t="n">
        <v>0</v>
      </c>
      <c r="O5" s="424" t="n">
        <v>0</v>
      </c>
      <c r="P5" s="424" t="n">
        <v>26</v>
      </c>
      <c r="Q5" s="424" t="n">
        <v>0</v>
      </c>
      <c r="R5" s="424" t="n">
        <v>0</v>
      </c>
      <c r="S5" s="424" t="n">
        <v>0</v>
      </c>
      <c r="T5" s="424">
        <f>B5-C5</f>
        <v/>
      </c>
      <c r="U5" s="429">
        <f>IF(P5&gt;0,I5/P5,0)</f>
        <v/>
      </c>
      <c r="V5" s="427">
        <f>IF(B5&gt;0,(D5+E5)/2/B5,0)</f>
        <v/>
      </c>
      <c r="W5" s="424">
        <f>SUM($F$5:F5)</f>
        <v/>
      </c>
      <c r="X5" s="422" t="n"/>
      <c r="Y5" s="422" t="n"/>
      <c r="Z5" s="422" t="n"/>
    </row>
    <row r="6">
      <c r="A6" s="430">
        <f>DATE('Seguimiento Diario'!$S$4,VALUE(LEFT('Seguimiento Diario'!$S$3,FIND("-",'Seguimiento Diario'!$S$3)-1)),2)</f>
        <v/>
      </c>
      <c r="B6" s="431">
        <f>'Seguimiento Diario'!E7</f>
        <v/>
      </c>
      <c r="C6" s="431">
        <f>'Seguimiento Diario'!D7</f>
        <v/>
      </c>
      <c r="D6" s="431" t="n">
        <v>0</v>
      </c>
      <c r="E6" s="432" t="n">
        <v>7</v>
      </c>
      <c r="F6" s="433">
        <f>'Seguimiento Diario'!L7</f>
        <v/>
      </c>
      <c r="G6" s="431" t="n">
        <v>85</v>
      </c>
      <c r="H6" s="434">
        <f>B6/G6</f>
        <v/>
      </c>
      <c r="I6" s="435">
        <f>'Seguimiento Diario'!H7</f>
        <v/>
      </c>
      <c r="J6" s="435">
        <f>'Seguimiento Diario'!G7</f>
        <v/>
      </c>
      <c r="K6" s="435">
        <f>I6/G6</f>
        <v/>
      </c>
      <c r="L6" s="431" t="n">
        <v>0</v>
      </c>
      <c r="M6" s="431" t="n">
        <v>0</v>
      </c>
      <c r="N6" s="431" t="n">
        <v>0</v>
      </c>
      <c r="O6" s="431" t="n">
        <v>0</v>
      </c>
      <c r="P6" s="431" t="n">
        <v>14</v>
      </c>
      <c r="Q6" s="431" t="n">
        <v>0</v>
      </c>
      <c r="R6" s="431" t="n">
        <v>0</v>
      </c>
      <c r="S6" s="431" t="n">
        <v>0</v>
      </c>
      <c r="T6" s="431">
        <f>B6-C6</f>
        <v/>
      </c>
      <c r="U6" s="436">
        <f>IF(P6&gt;0,I6/P6,0)</f>
        <v/>
      </c>
      <c r="V6" s="437">
        <f>IF(B6&gt;0,(D6+E6)/2/B6,0)</f>
        <v/>
      </c>
      <c r="W6" s="431">
        <f>SUM($F$5:F6)</f>
        <v/>
      </c>
      <c r="X6" s="422" t="n"/>
      <c r="Y6" s="422" t="n"/>
      <c r="Z6" s="422" t="n"/>
    </row>
    <row r="7">
      <c r="A7" s="423">
        <f>DATE('Seguimiento Diario'!$S$4,VALUE(LEFT('Seguimiento Diario'!$S$3,FIND("-",'Seguimiento Diario'!$S$3)-1)),3)</f>
        <v/>
      </c>
      <c r="B7" s="424">
        <f>'Seguimiento Diario'!E8</f>
        <v/>
      </c>
      <c r="C7" s="424">
        <f>'Seguimiento Diario'!D8</f>
        <v/>
      </c>
      <c r="D7" s="424" t="n">
        <v>1</v>
      </c>
      <c r="E7" s="424" t="n">
        <v>0</v>
      </c>
      <c r="F7" s="426">
        <f>'Seguimiento Diario'!L8</f>
        <v/>
      </c>
      <c r="G7" s="424" t="n">
        <v>85</v>
      </c>
      <c r="H7" s="434">
        <f>B7/G7</f>
        <v/>
      </c>
      <c r="I7" s="428">
        <f>'Seguimiento Diario'!H8</f>
        <v/>
      </c>
      <c r="J7" s="428">
        <f>'Seguimiento Diario'!G8</f>
        <v/>
      </c>
      <c r="K7" s="428">
        <f>I7/G7</f>
        <v/>
      </c>
      <c r="L7" s="424" t="n">
        <v>0</v>
      </c>
      <c r="M7" s="424" t="n">
        <v>0</v>
      </c>
      <c r="N7" s="424" t="n">
        <v>0</v>
      </c>
      <c r="O7" s="424" t="n">
        <v>0</v>
      </c>
      <c r="P7" s="424" t="n">
        <v>15</v>
      </c>
      <c r="Q7" s="424" t="n">
        <v>0</v>
      </c>
      <c r="R7" s="424" t="n">
        <v>0</v>
      </c>
      <c r="S7" s="424" t="n">
        <v>0</v>
      </c>
      <c r="T7" s="424">
        <f>B7-C7</f>
        <v/>
      </c>
      <c r="U7" s="429">
        <f>IF(P7&gt;0,I7/P7,0)</f>
        <v/>
      </c>
      <c r="V7" s="427">
        <f>IF(B7&gt;0,(D7+E7)/2/B7,0)</f>
        <v/>
      </c>
      <c r="W7" s="424">
        <f>SUM($F$5:F7)</f>
        <v/>
      </c>
      <c r="X7" s="422" t="n"/>
      <c r="Y7" s="422" t="n"/>
      <c r="Z7" s="422" t="n"/>
    </row>
    <row r="8">
      <c r="A8" s="430">
        <f>DATE('Seguimiento Diario'!$S$4,VALUE(LEFT('Seguimiento Diario'!$S$3,FIND("-",'Seguimiento Diario'!$S$3)-1)),4)</f>
        <v/>
      </c>
      <c r="B8" s="431">
        <f>'Seguimiento Diario'!E9</f>
        <v/>
      </c>
      <c r="C8" s="431">
        <f>'Seguimiento Diario'!D9</f>
        <v/>
      </c>
      <c r="D8" s="431" t="n">
        <v>1</v>
      </c>
      <c r="E8" s="432" t="n">
        <v>1</v>
      </c>
      <c r="F8" s="433">
        <f>'Seguimiento Diario'!L9</f>
        <v/>
      </c>
      <c r="G8" s="431" t="n">
        <v>85</v>
      </c>
      <c r="H8" s="434">
        <f>B8/G8</f>
        <v/>
      </c>
      <c r="I8" s="435">
        <f>'Seguimiento Diario'!H9</f>
        <v/>
      </c>
      <c r="J8" s="435">
        <f>'Seguimiento Diario'!G9</f>
        <v/>
      </c>
      <c r="K8" s="435">
        <f>I8/G8</f>
        <v/>
      </c>
      <c r="L8" s="431" t="n">
        <v>0</v>
      </c>
      <c r="M8" s="431" t="n">
        <v>0</v>
      </c>
      <c r="N8" s="431" t="n">
        <v>0</v>
      </c>
      <c r="O8" s="431" t="n">
        <v>0</v>
      </c>
      <c r="P8" s="431" t="n">
        <v>15</v>
      </c>
      <c r="Q8" s="431" t="n">
        <v>0</v>
      </c>
      <c r="R8" s="431" t="n">
        <v>0</v>
      </c>
      <c r="S8" s="431" t="n">
        <v>0</v>
      </c>
      <c r="T8" s="431">
        <f>B8-C8</f>
        <v/>
      </c>
      <c r="U8" s="436">
        <f>IF(P8&gt;0,I8/P8,0)</f>
        <v/>
      </c>
      <c r="V8" s="437">
        <f>IF(B8&gt;0,(D8+E8)/2/B8,0)</f>
        <v/>
      </c>
      <c r="W8" s="431">
        <f>SUM($F$5:F8)</f>
        <v/>
      </c>
      <c r="X8" s="422" t="n"/>
      <c r="Y8" s="422" t="n"/>
      <c r="Z8" s="422" t="n"/>
    </row>
    <row r="9">
      <c r="A9" s="423">
        <f>DATE('Seguimiento Diario'!$S$4,VALUE(LEFT('Seguimiento Diario'!$S$3,FIND("-",'Seguimiento Diario'!$S$3)-1)),5)</f>
        <v/>
      </c>
      <c r="B9" s="424">
        <f>'Seguimiento Diario'!E10</f>
        <v/>
      </c>
      <c r="C9" s="424">
        <f>'Seguimiento Diario'!D10</f>
        <v/>
      </c>
      <c r="D9" s="424" t="n">
        <v>14</v>
      </c>
      <c r="E9" s="425" t="n">
        <v>1</v>
      </c>
      <c r="F9" s="426">
        <f>'Seguimiento Diario'!L10</f>
        <v/>
      </c>
      <c r="G9" s="424" t="n">
        <v>85</v>
      </c>
      <c r="H9" s="427">
        <f>B9/G9</f>
        <v/>
      </c>
      <c r="I9" s="428">
        <f>'Seguimiento Diario'!H10</f>
        <v/>
      </c>
      <c r="J9" s="428">
        <f>'Seguimiento Diario'!G10</f>
        <v/>
      </c>
      <c r="K9" s="428">
        <f>I9/G9</f>
        <v/>
      </c>
      <c r="L9" s="424" t="n">
        <v>0</v>
      </c>
      <c r="M9" s="424" t="n">
        <v>0</v>
      </c>
      <c r="N9" s="424" t="n">
        <v>0</v>
      </c>
      <c r="O9" s="424" t="n">
        <v>0</v>
      </c>
      <c r="P9" s="424" t="n">
        <v>28</v>
      </c>
      <c r="Q9" s="424" t="n">
        <v>0</v>
      </c>
      <c r="R9" s="424" t="n">
        <v>0</v>
      </c>
      <c r="S9" s="424" t="n">
        <v>0</v>
      </c>
      <c r="T9" s="424">
        <f>B9-C9</f>
        <v/>
      </c>
      <c r="U9" s="429">
        <f>IF(P9&gt;0,I9/P9,0)</f>
        <v/>
      </c>
      <c r="V9" s="427">
        <f>IF(B9&gt;0,(D9+E9)/2/B9,0)</f>
        <v/>
      </c>
      <c r="W9" s="424">
        <f>SUM($F$5:F9)</f>
        <v/>
      </c>
      <c r="X9" s="422" t="n"/>
      <c r="Y9" s="422" t="n"/>
      <c r="Z9" s="422" t="n"/>
    </row>
    <row r="10">
      <c r="A10" s="430">
        <f>DATE('Seguimiento Diario'!$S$4,VALUE(LEFT('Seguimiento Diario'!$S$3,FIND("-",'Seguimiento Diario'!$S$3)-1)),6)</f>
        <v/>
      </c>
      <c r="B10" s="431">
        <f>'Seguimiento Diario'!E11</f>
        <v/>
      </c>
      <c r="C10" s="431">
        <f>'Seguimiento Diario'!D11</f>
        <v/>
      </c>
      <c r="D10" s="431" t="n">
        <v>2</v>
      </c>
      <c r="E10" s="432" t="n">
        <v>13</v>
      </c>
      <c r="F10" s="433">
        <f>'Seguimiento Diario'!L11</f>
        <v/>
      </c>
      <c r="G10" s="431" t="n">
        <v>85</v>
      </c>
      <c r="H10" s="437">
        <f>B10/G10</f>
        <v/>
      </c>
      <c r="I10" s="435">
        <f>'Seguimiento Diario'!H11</f>
        <v/>
      </c>
      <c r="J10" s="435">
        <f>'Seguimiento Diario'!G11</f>
        <v/>
      </c>
      <c r="K10" s="435">
        <f>I10/G10</f>
        <v/>
      </c>
      <c r="L10" s="431" t="n">
        <v>0</v>
      </c>
      <c r="M10" s="431" t="n">
        <v>0</v>
      </c>
      <c r="N10" s="431" t="n">
        <v>0</v>
      </c>
      <c r="O10" s="431" t="n">
        <v>0</v>
      </c>
      <c r="P10" s="431" t="n">
        <v>20</v>
      </c>
      <c r="Q10" s="431" t="n">
        <v>0</v>
      </c>
      <c r="R10" s="431" t="n">
        <v>0</v>
      </c>
      <c r="S10" s="431" t="n">
        <v>0</v>
      </c>
      <c r="T10" s="431">
        <f>B10-C10</f>
        <v/>
      </c>
      <c r="U10" s="436">
        <f>IF(P10&gt;0,I10/P10,0)</f>
        <v/>
      </c>
      <c r="V10" s="437">
        <f>IF(B10&gt;0,(D10+E10)/2/B10,0)</f>
        <v/>
      </c>
      <c r="W10" s="431">
        <f>SUM($F$5:F10)</f>
        <v/>
      </c>
      <c r="X10" s="422" t="n"/>
      <c r="Y10" s="422" t="n"/>
      <c r="Z10" s="422" t="n"/>
    </row>
    <row r="11">
      <c r="A11" s="423">
        <f>DATE('Seguimiento Diario'!$S$4,VALUE(LEFT('Seguimiento Diario'!$S$3,FIND("-",'Seguimiento Diario'!$S$3)-1)),7)</f>
        <v/>
      </c>
      <c r="B11" s="424">
        <f>'Seguimiento Diario'!E12</f>
        <v/>
      </c>
      <c r="C11" s="424">
        <f>'Seguimiento Diario'!D12</f>
        <v/>
      </c>
      <c r="D11" s="424" t="n">
        <v>0</v>
      </c>
      <c r="E11" s="424" t="n">
        <v>0</v>
      </c>
      <c r="F11" s="426">
        <f>'Seguimiento Diario'!L12</f>
        <v/>
      </c>
      <c r="G11" s="424" t="n">
        <v>85</v>
      </c>
      <c r="H11" s="427">
        <f>B11/G11</f>
        <v/>
      </c>
      <c r="I11" s="428">
        <f>'Seguimiento Diario'!H12</f>
        <v/>
      </c>
      <c r="J11" s="428">
        <f>'Seguimiento Diario'!G12</f>
        <v/>
      </c>
      <c r="K11" s="428">
        <f>I11/G11</f>
        <v/>
      </c>
      <c r="L11" s="424" t="n">
        <v>0</v>
      </c>
      <c r="M11" s="424" t="n">
        <v>0</v>
      </c>
      <c r="N11" s="424" t="n">
        <v>0</v>
      </c>
      <c r="O11" s="424" t="n">
        <v>0</v>
      </c>
      <c r="P11" s="424" t="n">
        <v>20</v>
      </c>
      <c r="Q11" s="424" t="n">
        <v>0</v>
      </c>
      <c r="R11" s="424" t="n">
        <v>0</v>
      </c>
      <c r="S11" s="424" t="n">
        <v>0</v>
      </c>
      <c r="T11" s="424">
        <f>B11-C11</f>
        <v/>
      </c>
      <c r="U11" s="429">
        <f>IF(P11&gt;0,I11/P11,0)</f>
        <v/>
      </c>
      <c r="V11" s="427">
        <f>IF(B11&gt;0,(D11+E11)/2/B11,0)</f>
        <v/>
      </c>
      <c r="W11" s="424">
        <f>SUM($F$5:F11)</f>
        <v/>
      </c>
      <c r="X11" s="422" t="n"/>
      <c r="Y11" s="422" t="n"/>
      <c r="Z11" s="422" t="n"/>
    </row>
    <row r="12">
      <c r="A12" s="430">
        <f>DATE('Seguimiento Diario'!$S$4,VALUE(LEFT('Seguimiento Diario'!$S$3,FIND("-",'Seguimiento Diario'!$S$3)-1)),8)</f>
        <v/>
      </c>
      <c r="B12" s="431">
        <f>'Seguimiento Diario'!E13</f>
        <v/>
      </c>
      <c r="C12" s="431">
        <f>'Seguimiento Diario'!D13</f>
        <v/>
      </c>
      <c r="D12" s="431" t="n">
        <v>0</v>
      </c>
      <c r="E12" s="432" t="n">
        <v>2</v>
      </c>
      <c r="F12" s="433">
        <f>'Seguimiento Diario'!L13</f>
        <v/>
      </c>
      <c r="G12" s="431" t="n">
        <v>85</v>
      </c>
      <c r="H12" s="434">
        <f>B12/G12</f>
        <v/>
      </c>
      <c r="I12" s="435">
        <f>'Seguimiento Diario'!H13</f>
        <v/>
      </c>
      <c r="J12" s="435">
        <f>'Seguimiento Diario'!G13</f>
        <v/>
      </c>
      <c r="K12" s="435">
        <f>I12/G12</f>
        <v/>
      </c>
      <c r="L12" s="431" t="n">
        <v>0</v>
      </c>
      <c r="M12" s="431" t="n">
        <v>0</v>
      </c>
      <c r="N12" s="431" t="n">
        <v>0</v>
      </c>
      <c r="O12" s="431" t="n">
        <v>0</v>
      </c>
      <c r="P12" s="431" t="n">
        <v>16</v>
      </c>
      <c r="Q12" s="431" t="n">
        <v>0</v>
      </c>
      <c r="R12" s="431" t="n">
        <v>0</v>
      </c>
      <c r="S12" s="431" t="n">
        <v>0</v>
      </c>
      <c r="T12" s="431">
        <f>B12-C12</f>
        <v/>
      </c>
      <c r="U12" s="436">
        <f>IF(P12&gt;0,I12/P12,0)</f>
        <v/>
      </c>
      <c r="V12" s="437">
        <f>IF(B12&gt;0,(D12+E12)/2/B12,0)</f>
        <v/>
      </c>
      <c r="W12" s="431">
        <f>SUM($F$5:F12)</f>
        <v/>
      </c>
      <c r="X12" s="422" t="n"/>
      <c r="Y12" s="422" t="n"/>
      <c r="Z12" s="422" t="n"/>
    </row>
    <row r="13">
      <c r="A13" s="423">
        <f>DATE('Seguimiento Diario'!$S$4,VALUE(LEFT('Seguimiento Diario'!$S$3,FIND("-",'Seguimiento Diario'!$S$3)-1)),9)</f>
        <v/>
      </c>
      <c r="B13" s="424">
        <f>'Seguimiento Diario'!E14</f>
        <v/>
      </c>
      <c r="C13" s="424">
        <f>'Seguimiento Diario'!D14</f>
        <v/>
      </c>
      <c r="D13" s="424" t="n">
        <v>13</v>
      </c>
      <c r="E13" s="425" t="n">
        <v>1</v>
      </c>
      <c r="F13" s="426">
        <f>'Seguimiento Diario'!L14</f>
        <v/>
      </c>
      <c r="G13" s="424" t="n">
        <v>85</v>
      </c>
      <c r="H13" s="427">
        <f>B13/G13</f>
        <v/>
      </c>
      <c r="I13" s="428">
        <f>'Seguimiento Diario'!H14</f>
        <v/>
      </c>
      <c r="J13" s="428">
        <f>'Seguimiento Diario'!G14</f>
        <v/>
      </c>
      <c r="K13" s="428">
        <f>I13/G13</f>
        <v/>
      </c>
      <c r="L13" s="424" t="n">
        <v>0</v>
      </c>
      <c r="M13" s="424" t="n">
        <v>0</v>
      </c>
      <c r="N13" s="424" t="n">
        <v>0</v>
      </c>
      <c r="O13" s="424" t="n">
        <v>0</v>
      </c>
      <c r="P13" s="424" t="n">
        <v>23</v>
      </c>
      <c r="Q13" s="424" t="n">
        <v>0</v>
      </c>
      <c r="R13" s="424" t="n">
        <v>0</v>
      </c>
      <c r="S13" s="424" t="n">
        <v>0</v>
      </c>
      <c r="T13" s="424">
        <f>B13-C13</f>
        <v/>
      </c>
      <c r="U13" s="429">
        <f>IF(P13&gt;0,I13/P13,0)</f>
        <v/>
      </c>
      <c r="V13" s="427">
        <f>IF(B13&gt;0,(D13+E13)/2/B13,0)</f>
        <v/>
      </c>
      <c r="W13" s="424">
        <f>SUM($F$5:F13)</f>
        <v/>
      </c>
      <c r="X13" s="422" t="n"/>
      <c r="Y13" s="422" t="n"/>
      <c r="Z13" s="422" t="n"/>
    </row>
    <row r="14">
      <c r="A14" s="430">
        <f>DATE('Seguimiento Diario'!$S$4,VALUE(LEFT('Seguimiento Diario'!$S$3,FIND("-",'Seguimiento Diario'!$S$3)-1)),10)</f>
        <v/>
      </c>
      <c r="B14" s="431">
        <f>'Seguimiento Diario'!E15</f>
        <v/>
      </c>
      <c r="C14" s="431">
        <f>'Seguimiento Diario'!D15</f>
        <v/>
      </c>
      <c r="D14" s="431" t="n">
        <v>0</v>
      </c>
      <c r="E14" s="431" t="n">
        <v>0</v>
      </c>
      <c r="F14" s="433">
        <f>'Seguimiento Diario'!L15</f>
        <v/>
      </c>
      <c r="G14" s="431" t="n">
        <v>85</v>
      </c>
      <c r="H14" s="437">
        <f>B14/G14</f>
        <v/>
      </c>
      <c r="I14" s="435">
        <f>'Seguimiento Diario'!H15</f>
        <v/>
      </c>
      <c r="J14" s="435">
        <f>'Seguimiento Diario'!G15</f>
        <v/>
      </c>
      <c r="K14" s="435">
        <f>I14/G14</f>
        <v/>
      </c>
      <c r="L14" s="431" t="n">
        <v>0</v>
      </c>
      <c r="M14" s="431" t="n">
        <v>0</v>
      </c>
      <c r="N14" s="431" t="n">
        <v>0</v>
      </c>
      <c r="O14" s="431" t="n">
        <v>0</v>
      </c>
      <c r="P14" s="431" t="n">
        <v>23</v>
      </c>
      <c r="Q14" s="431" t="n">
        <v>0</v>
      </c>
      <c r="R14" s="431" t="n">
        <v>0</v>
      </c>
      <c r="S14" s="431" t="n">
        <v>0</v>
      </c>
      <c r="T14" s="431">
        <f>B14-C14</f>
        <v/>
      </c>
      <c r="U14" s="436">
        <f>IF(P14&gt;0,I14/P14,0)</f>
        <v/>
      </c>
      <c r="V14" s="437">
        <f>IF(B14&gt;0,(D14+E14)/2/B14,0)</f>
        <v/>
      </c>
      <c r="W14" s="431">
        <f>SUM($F$5:F14)</f>
        <v/>
      </c>
      <c r="X14" s="422" t="n"/>
      <c r="Y14" s="422" t="n"/>
      <c r="Z14" s="422" t="n"/>
    </row>
    <row r="15">
      <c r="A15" s="423">
        <f>DATE('Seguimiento Diario'!$S$4,VALUE(LEFT('Seguimiento Diario'!$S$3,FIND("-",'Seguimiento Diario'!$S$3)-1)),11)</f>
        <v/>
      </c>
      <c r="B15" s="424">
        <f>'Seguimiento Diario'!E16</f>
        <v/>
      </c>
      <c r="C15" s="424">
        <f>'Seguimiento Diario'!D16</f>
        <v/>
      </c>
      <c r="D15" s="424" t="n">
        <v>0</v>
      </c>
      <c r="E15" s="424" t="n">
        <v>0</v>
      </c>
      <c r="F15" s="426">
        <f>'Seguimiento Diario'!L16</f>
        <v/>
      </c>
      <c r="G15" s="424" t="n">
        <v>85</v>
      </c>
      <c r="H15" s="427">
        <f>B15/G15</f>
        <v/>
      </c>
      <c r="I15" s="428">
        <f>'Seguimiento Diario'!H16</f>
        <v/>
      </c>
      <c r="J15" s="428">
        <f>'Seguimiento Diario'!G16</f>
        <v/>
      </c>
      <c r="K15" s="428">
        <f>I15/G15</f>
        <v/>
      </c>
      <c r="L15" s="424" t="n">
        <v>0</v>
      </c>
      <c r="M15" s="424" t="n">
        <v>0</v>
      </c>
      <c r="N15" s="424" t="n">
        <v>0</v>
      </c>
      <c r="O15" s="424" t="n">
        <v>0</v>
      </c>
      <c r="P15" s="424" t="n">
        <v>23</v>
      </c>
      <c r="Q15" s="424" t="n">
        <v>0</v>
      </c>
      <c r="R15" s="424" t="n">
        <v>0</v>
      </c>
      <c r="S15" s="424" t="n">
        <v>0</v>
      </c>
      <c r="T15" s="424">
        <f>B15-C15</f>
        <v/>
      </c>
      <c r="U15" s="429">
        <f>IF(P15&gt;0,I15/P15,0)</f>
        <v/>
      </c>
      <c r="V15" s="427">
        <f>IF(B15&gt;0,(D15+E15)/2/B15,0)</f>
        <v/>
      </c>
      <c r="W15" s="424">
        <f>SUM($F$5:F15)</f>
        <v/>
      </c>
      <c r="X15" s="422" t="n"/>
      <c r="Y15" s="422" t="n"/>
      <c r="Z15" s="422" t="n"/>
    </row>
    <row r="16">
      <c r="A16" s="430">
        <f>DATE('Seguimiento Diario'!$S$4,VALUE(LEFT('Seguimiento Diario'!$S$3,FIND("-",'Seguimiento Diario'!$S$3)-1)),12)</f>
        <v/>
      </c>
      <c r="B16" s="431">
        <f>'Seguimiento Diario'!E17</f>
        <v/>
      </c>
      <c r="C16" s="431">
        <f>'Seguimiento Diario'!D17</f>
        <v/>
      </c>
      <c r="D16" s="431" t="n">
        <v>2</v>
      </c>
      <c r="E16" s="431" t="n">
        <v>0</v>
      </c>
      <c r="F16" s="433">
        <f>'Seguimiento Diario'!L17</f>
        <v/>
      </c>
      <c r="G16" s="431" t="n">
        <v>85</v>
      </c>
      <c r="H16" s="438">
        <f>B16/G16</f>
        <v/>
      </c>
      <c r="I16" s="435">
        <f>'Seguimiento Diario'!H17</f>
        <v/>
      </c>
      <c r="J16" s="435">
        <f>'Seguimiento Diario'!G17</f>
        <v/>
      </c>
      <c r="K16" s="435">
        <f>I16/G16</f>
        <v/>
      </c>
      <c r="L16" s="431" t="n">
        <v>0</v>
      </c>
      <c r="M16" s="431" t="n">
        <v>0</v>
      </c>
      <c r="N16" s="431" t="n">
        <v>0</v>
      </c>
      <c r="O16" s="431" t="n">
        <v>0</v>
      </c>
      <c r="P16" s="431" t="n">
        <v>27</v>
      </c>
      <c r="Q16" s="431" t="n">
        <v>0</v>
      </c>
      <c r="R16" s="431" t="n">
        <v>0</v>
      </c>
      <c r="S16" s="431" t="n">
        <v>0</v>
      </c>
      <c r="T16" s="431">
        <f>B16-C16</f>
        <v/>
      </c>
      <c r="U16" s="436">
        <f>IF(P16&gt;0,I16/P16,0)</f>
        <v/>
      </c>
      <c r="V16" s="437">
        <f>IF(B16&gt;0,(D16+E16)/2/B16,0)</f>
        <v/>
      </c>
      <c r="W16" s="431">
        <f>SUM($F$5:F16)</f>
        <v/>
      </c>
      <c r="X16" s="422" t="n"/>
      <c r="Y16" s="422" t="n"/>
      <c r="Z16" s="422" t="n"/>
    </row>
    <row r="17">
      <c r="A17" s="423">
        <f>DATE('Seguimiento Diario'!$S$4,VALUE(LEFT('Seguimiento Diario'!$S$3,FIND("-",'Seguimiento Diario'!$S$3)-1)),13)</f>
        <v/>
      </c>
      <c r="B17" s="424">
        <f>'Seguimiento Diario'!E18</f>
        <v/>
      </c>
      <c r="C17" s="424">
        <f>'Seguimiento Diario'!D18</f>
        <v/>
      </c>
      <c r="D17" s="424" t="n">
        <v>1</v>
      </c>
      <c r="E17" s="425" t="n">
        <v>13</v>
      </c>
      <c r="F17" s="426">
        <f>'Seguimiento Diario'!L18</f>
        <v/>
      </c>
      <c r="G17" s="424" t="n">
        <v>85</v>
      </c>
      <c r="H17" s="427">
        <f>B17/G17</f>
        <v/>
      </c>
      <c r="I17" s="428">
        <f>'Seguimiento Diario'!H18</f>
        <v/>
      </c>
      <c r="J17" s="428">
        <f>'Seguimiento Diario'!G18</f>
        <v/>
      </c>
      <c r="K17" s="428">
        <f>I17/G17</f>
        <v/>
      </c>
      <c r="L17" s="424" t="n">
        <v>0</v>
      </c>
      <c r="M17" s="424" t="n">
        <v>0</v>
      </c>
      <c r="N17" s="424" t="n">
        <v>0</v>
      </c>
      <c r="O17" s="424" t="n">
        <v>0</v>
      </c>
      <c r="P17" s="424" t="n">
        <v>20</v>
      </c>
      <c r="Q17" s="424" t="n">
        <v>0</v>
      </c>
      <c r="R17" s="424" t="n">
        <v>0</v>
      </c>
      <c r="S17" s="424" t="n">
        <v>0</v>
      </c>
      <c r="T17" s="424">
        <f>B17-C17</f>
        <v/>
      </c>
      <c r="U17" s="429">
        <f>IF(P17&gt;0,I17/P17,0)</f>
        <v/>
      </c>
      <c r="V17" s="427">
        <f>IF(B17&gt;0,(D17+E17)/2/B17,0)</f>
        <v/>
      </c>
      <c r="W17" s="424">
        <f>SUM($F$5:F17)</f>
        <v/>
      </c>
      <c r="X17" s="422" t="n"/>
      <c r="Y17" s="422" t="n"/>
      <c r="Z17" s="422" t="n"/>
    </row>
    <row r="18">
      <c r="A18" s="430">
        <f>DATE('Seguimiento Diario'!$S$4,VALUE(LEFT('Seguimiento Diario'!$S$3,FIND("-",'Seguimiento Diario'!$S$3)-1)),14)</f>
        <v/>
      </c>
      <c r="B18" s="431">
        <f>'Seguimiento Diario'!E19</f>
        <v/>
      </c>
      <c r="C18" s="431">
        <f>'Seguimiento Diario'!D19</f>
        <v/>
      </c>
      <c r="D18" s="431" t="n">
        <v>6</v>
      </c>
      <c r="E18" s="432" t="n">
        <v>1</v>
      </c>
      <c r="F18" s="433">
        <f>'Seguimiento Diario'!L19</f>
        <v/>
      </c>
      <c r="G18" s="431" t="n">
        <v>85</v>
      </c>
      <c r="H18" s="437">
        <f>B18/G18</f>
        <v/>
      </c>
      <c r="I18" s="435">
        <f>'Seguimiento Diario'!H19</f>
        <v/>
      </c>
      <c r="J18" s="435">
        <f>'Seguimiento Diario'!G19</f>
        <v/>
      </c>
      <c r="K18" s="435">
        <f>I18/G18</f>
        <v/>
      </c>
      <c r="L18" s="431" t="n">
        <v>0</v>
      </c>
      <c r="M18" s="431" t="n">
        <v>0</v>
      </c>
      <c r="N18" s="431" t="n">
        <v>0</v>
      </c>
      <c r="O18" s="431" t="n">
        <v>0</v>
      </c>
      <c r="P18" s="431" t="n">
        <v>29</v>
      </c>
      <c r="Q18" s="431" t="n">
        <v>0</v>
      </c>
      <c r="R18" s="431" t="n">
        <v>1</v>
      </c>
      <c r="S18" s="431" t="n">
        <v>0</v>
      </c>
      <c r="T18" s="431">
        <f>B18-C18</f>
        <v/>
      </c>
      <c r="U18" s="436">
        <f>IF(P18&gt;0,I18/P18,0)</f>
        <v/>
      </c>
      <c r="V18" s="437">
        <f>IF(B18&gt;0,(D18+E18)/2/B18,0)</f>
        <v/>
      </c>
      <c r="W18" s="431">
        <f>SUM($F$5:F18)</f>
        <v/>
      </c>
      <c r="X18" s="422" t="n"/>
      <c r="Y18" s="422" t="n"/>
      <c r="Z18" s="422" t="n"/>
    </row>
    <row r="19">
      <c r="A19" s="423">
        <f>DATE('Seguimiento Diario'!$S$4,VALUE(LEFT('Seguimiento Diario'!$S$3,FIND("-",'Seguimiento Diario'!$S$3)-1)),15)</f>
        <v/>
      </c>
      <c r="B19" s="424">
        <f>'Seguimiento Diario'!E20</f>
        <v/>
      </c>
      <c r="C19" s="424">
        <f>'Seguimiento Diario'!D20</f>
        <v/>
      </c>
      <c r="D19" s="424" t="n">
        <v>0</v>
      </c>
      <c r="E19" s="425" t="n">
        <v>6</v>
      </c>
      <c r="F19" s="426">
        <f>'Seguimiento Diario'!L20</f>
        <v/>
      </c>
      <c r="G19" s="424" t="n">
        <v>85</v>
      </c>
      <c r="H19" s="427">
        <f>B19/G19</f>
        <v/>
      </c>
      <c r="I19" s="428">
        <f>'Seguimiento Diario'!H20</f>
        <v/>
      </c>
      <c r="J19" s="428">
        <f>'Seguimiento Diario'!G20</f>
        <v/>
      </c>
      <c r="K19" s="428">
        <f>I19/G19</f>
        <v/>
      </c>
      <c r="L19" s="424" t="n">
        <v>0</v>
      </c>
      <c r="M19" s="424" t="n">
        <v>0</v>
      </c>
      <c r="N19" s="424" t="n">
        <v>0</v>
      </c>
      <c r="O19" s="424" t="n">
        <v>0</v>
      </c>
      <c r="P19" s="424" t="n">
        <v>18</v>
      </c>
      <c r="Q19" s="424" t="n">
        <v>0</v>
      </c>
      <c r="R19" s="424" t="n">
        <v>0</v>
      </c>
      <c r="S19" s="424" t="n">
        <v>0</v>
      </c>
      <c r="T19" s="424">
        <f>B19-C19</f>
        <v/>
      </c>
      <c r="U19" s="429">
        <f>IF(P19&gt;0,I19/P19,0)</f>
        <v/>
      </c>
      <c r="V19" s="427">
        <f>IF(B19&gt;0,(D19+E19)/2/B19,0)</f>
        <v/>
      </c>
      <c r="W19" s="424">
        <f>SUM($F$5:F19)</f>
        <v/>
      </c>
      <c r="X19" s="422" t="n"/>
      <c r="Y19" s="422" t="n"/>
      <c r="Z19" s="422" t="n"/>
    </row>
    <row r="20">
      <c r="A20" s="430">
        <f>DATE('Seguimiento Diario'!$S$4,VALUE(LEFT('Seguimiento Diario'!$S$3,FIND("-",'Seguimiento Diario'!$S$3)-1)),16)</f>
        <v/>
      </c>
      <c r="B20" s="431">
        <f>'Seguimiento Diario'!E21</f>
        <v/>
      </c>
      <c r="C20" s="431">
        <f>'Seguimiento Diario'!D21</f>
        <v/>
      </c>
      <c r="D20" s="431" t="n">
        <v>69</v>
      </c>
      <c r="E20" s="432" t="n">
        <v>68</v>
      </c>
      <c r="F20" s="433">
        <f>'Seguimiento Diario'!L21</f>
        <v/>
      </c>
      <c r="G20" s="431" t="n">
        <v>85</v>
      </c>
      <c r="H20" s="437">
        <f>B20/G20</f>
        <v/>
      </c>
      <c r="I20" s="435">
        <f>'Seguimiento Diario'!H21</f>
        <v/>
      </c>
      <c r="J20" s="435">
        <f>'Seguimiento Diario'!G21</f>
        <v/>
      </c>
      <c r="K20" s="435">
        <f>I20/G20</f>
        <v/>
      </c>
      <c r="L20" s="431" t="n">
        <v>0</v>
      </c>
      <c r="M20" s="431" t="n">
        <v>0</v>
      </c>
      <c r="N20" s="431" t="n">
        <v>0</v>
      </c>
      <c r="O20" s="431" t="n">
        <v>0</v>
      </c>
      <c r="P20" s="431" t="n">
        <v>82</v>
      </c>
      <c r="Q20" s="431" t="n">
        <v>0</v>
      </c>
      <c r="R20" s="431" t="n">
        <v>0</v>
      </c>
      <c r="S20" s="431" t="n">
        <v>0</v>
      </c>
      <c r="T20" s="431">
        <f>B20-C20</f>
        <v/>
      </c>
      <c r="U20" s="436">
        <f>IF(P20&gt;0,I20/P20,0)</f>
        <v/>
      </c>
      <c r="V20" s="437">
        <f>IF(B20&gt;0,(D20+E20)/2/B20,0)</f>
        <v/>
      </c>
      <c r="W20" s="431">
        <f>SUM($F$5:F20)</f>
        <v/>
      </c>
      <c r="X20" s="422" t="n"/>
      <c r="Y20" s="422" t="n"/>
      <c r="Z20" s="422" t="n"/>
    </row>
    <row r="21">
      <c r="A21" s="423">
        <f>DATE('Seguimiento Diario'!$S$4,VALUE(LEFT('Seguimiento Diario'!$S$3,FIND("-",'Seguimiento Diario'!$S$3)-1)),17)</f>
        <v/>
      </c>
      <c r="B21" s="424">
        <f>'Seguimiento Diario'!E22</f>
        <v/>
      </c>
      <c r="C21" s="424">
        <f>'Seguimiento Diario'!D22</f>
        <v/>
      </c>
      <c r="D21" s="424" t="n">
        <v>2</v>
      </c>
      <c r="E21" s="424" t="n">
        <v>0</v>
      </c>
      <c r="F21" s="426">
        <f>'Seguimiento Diario'!L22</f>
        <v/>
      </c>
      <c r="G21" s="424" t="n">
        <v>85</v>
      </c>
      <c r="H21" s="427">
        <f>B21/G21</f>
        <v/>
      </c>
      <c r="I21" s="428">
        <f>'Seguimiento Diario'!H22</f>
        <v/>
      </c>
      <c r="J21" s="428">
        <f>'Seguimiento Diario'!G22</f>
        <v/>
      </c>
      <c r="K21" s="428">
        <f>I21/G21</f>
        <v/>
      </c>
      <c r="L21" s="424" t="n">
        <v>0</v>
      </c>
      <c r="M21" s="424" t="n">
        <v>0</v>
      </c>
      <c r="N21" s="424" t="n">
        <v>0</v>
      </c>
      <c r="O21" s="424" t="n">
        <v>0</v>
      </c>
      <c r="P21" s="424" t="n">
        <v>85</v>
      </c>
      <c r="Q21" s="424" t="n">
        <v>0</v>
      </c>
      <c r="R21" s="424" t="n">
        <v>0</v>
      </c>
      <c r="S21" s="424" t="n">
        <v>0</v>
      </c>
      <c r="T21" s="424">
        <f>B21-C21</f>
        <v/>
      </c>
      <c r="U21" s="429">
        <f>IF(P21&gt;0,I21/P21,0)</f>
        <v/>
      </c>
      <c r="V21" s="427">
        <f>IF(B21&gt;0,(D21+E21)/2/B21,0)</f>
        <v/>
      </c>
      <c r="W21" s="424">
        <f>SUM($F$5:F21)</f>
        <v/>
      </c>
      <c r="X21" s="422" t="n"/>
      <c r="Y21" s="422" t="n"/>
      <c r="Z21" s="422" t="n"/>
    </row>
    <row r="22">
      <c r="A22" s="430">
        <f>DATE('Seguimiento Diario'!$S$4,VALUE(LEFT('Seguimiento Diario'!$S$3,FIND("-",'Seguimiento Diario'!$S$3)-1)),18)</f>
        <v/>
      </c>
      <c r="B22" s="431">
        <f>'Seguimiento Diario'!E23</f>
        <v/>
      </c>
      <c r="C22" s="431">
        <f>'Seguimiento Diario'!D23</f>
        <v/>
      </c>
      <c r="D22" s="431" t="n">
        <v>0</v>
      </c>
      <c r="E22" s="432" t="n">
        <v>1</v>
      </c>
      <c r="F22" s="433">
        <f>'Seguimiento Diario'!L23</f>
        <v/>
      </c>
      <c r="G22" s="431" t="n">
        <v>85</v>
      </c>
      <c r="H22" s="437">
        <f>B22/G22</f>
        <v/>
      </c>
      <c r="I22" s="435">
        <f>'Seguimiento Diario'!H23</f>
        <v/>
      </c>
      <c r="J22" s="435">
        <f>'Seguimiento Diario'!G23</f>
        <v/>
      </c>
      <c r="K22" s="435">
        <f>I22/G22</f>
        <v/>
      </c>
      <c r="L22" s="431" t="n">
        <v>0</v>
      </c>
      <c r="M22" s="431" t="n">
        <v>0</v>
      </c>
      <c r="N22" s="431" t="n">
        <v>0</v>
      </c>
      <c r="O22" s="431" t="n">
        <v>0</v>
      </c>
      <c r="P22" s="431" t="n">
        <v>83</v>
      </c>
      <c r="Q22" s="431" t="n">
        <v>0</v>
      </c>
      <c r="R22" s="431" t="n">
        <v>0</v>
      </c>
      <c r="S22" s="431" t="n">
        <v>0</v>
      </c>
      <c r="T22" s="431">
        <f>B22-C22</f>
        <v/>
      </c>
      <c r="U22" s="436">
        <f>IF(P22&gt;0,I22/P22,0)</f>
        <v/>
      </c>
      <c r="V22" s="437">
        <f>IF(B22&gt;0,(D22+E22)/2/B22,0)</f>
        <v/>
      </c>
      <c r="W22" s="431">
        <f>SUM($F$5:F22)</f>
        <v/>
      </c>
      <c r="X22" s="422" t="n"/>
      <c r="Y22" s="422" t="n"/>
      <c r="Z22" s="422" t="n"/>
    </row>
    <row r="23">
      <c r="A23" s="423">
        <f>DATE('Seguimiento Diario'!$S$4,VALUE(LEFT('Seguimiento Diario'!$S$3,FIND("-",'Seguimiento Diario'!$S$3)-1)),19)</f>
        <v/>
      </c>
      <c r="B23" s="424">
        <f>'Seguimiento Diario'!E24</f>
        <v/>
      </c>
      <c r="C23" s="424">
        <f>'Seguimiento Diario'!D24</f>
        <v/>
      </c>
      <c r="D23" s="424" t="n">
        <v>0</v>
      </c>
      <c r="E23" s="424" t="n">
        <v>0</v>
      </c>
      <c r="F23" s="426">
        <f>'Seguimiento Diario'!L24</f>
        <v/>
      </c>
      <c r="G23" s="424" t="n">
        <v>85</v>
      </c>
      <c r="H23" s="427">
        <f>B23/G23</f>
        <v/>
      </c>
      <c r="I23" s="428">
        <f>'Seguimiento Diario'!H24</f>
        <v/>
      </c>
      <c r="J23" s="428">
        <f>'Seguimiento Diario'!G24</f>
        <v/>
      </c>
      <c r="K23" s="428">
        <f>I23/G23</f>
        <v/>
      </c>
      <c r="L23" s="424" t="n">
        <v>0</v>
      </c>
      <c r="M23" s="424" t="n">
        <v>0</v>
      </c>
      <c r="N23" s="424" t="n">
        <v>0</v>
      </c>
      <c r="O23" s="424" t="n">
        <v>0</v>
      </c>
      <c r="P23" s="424" t="n">
        <v>83</v>
      </c>
      <c r="Q23" s="424" t="n">
        <v>0</v>
      </c>
      <c r="R23" s="424" t="n">
        <v>0</v>
      </c>
      <c r="S23" s="424" t="n">
        <v>0</v>
      </c>
      <c r="T23" s="424">
        <f>B23-C23</f>
        <v/>
      </c>
      <c r="U23" s="429">
        <f>IF(P23&gt;0,I23/P23,0)</f>
        <v/>
      </c>
      <c r="V23" s="427">
        <f>IF(B23&gt;0,(D23+E23)/2/B23,0)</f>
        <v/>
      </c>
      <c r="W23" s="424">
        <f>SUM($F$5:F23)</f>
        <v/>
      </c>
      <c r="X23" s="422" t="n"/>
      <c r="Y23" s="422" t="n"/>
      <c r="Z23" s="422" t="n"/>
    </row>
    <row r="24">
      <c r="A24" s="430">
        <f>DATE('Seguimiento Diario'!$S$4,VALUE(LEFT('Seguimiento Diario'!$S$3,FIND("-",'Seguimiento Diario'!$S$3)-1)),20)</f>
        <v/>
      </c>
      <c r="B24" s="431">
        <f>'Seguimiento Diario'!E25</f>
        <v/>
      </c>
      <c r="C24" s="431">
        <f>'Seguimiento Diario'!D25</f>
        <v/>
      </c>
      <c r="D24" s="431" t="n">
        <v>15</v>
      </c>
      <c r="E24" s="432" t="n">
        <v>1</v>
      </c>
      <c r="F24" s="433">
        <f>'Seguimiento Diario'!L25</f>
        <v/>
      </c>
      <c r="G24" s="431" t="n">
        <v>85</v>
      </c>
      <c r="H24" s="438">
        <f>B24/G24</f>
        <v/>
      </c>
      <c r="I24" s="435">
        <f>'Seguimiento Diario'!H25</f>
        <v/>
      </c>
      <c r="J24" s="435">
        <f>'Seguimiento Diario'!G25</f>
        <v/>
      </c>
      <c r="K24" s="435">
        <f>I24/G24</f>
        <v/>
      </c>
      <c r="L24" s="431" t="n">
        <v>1</v>
      </c>
      <c r="M24" s="431" t="n">
        <v>0</v>
      </c>
      <c r="N24" s="431" t="n">
        <v>0</v>
      </c>
      <c r="O24" s="431" t="n">
        <v>0</v>
      </c>
      <c r="P24" s="431" t="n">
        <v>119</v>
      </c>
      <c r="Q24" s="431" t="n">
        <v>0</v>
      </c>
      <c r="R24" s="431" t="n">
        <v>1</v>
      </c>
      <c r="S24" s="431" t="n">
        <v>0</v>
      </c>
      <c r="T24" s="431">
        <f>B24-C24</f>
        <v/>
      </c>
      <c r="U24" s="436">
        <f>IF(P24&gt;0,I24/P24,0)</f>
        <v/>
      </c>
      <c r="V24" s="437">
        <f>IF(B24&gt;0,(D24+E24)/2/B24,0)</f>
        <v/>
      </c>
      <c r="W24" s="431">
        <f>SUM($F$5:F24)</f>
        <v/>
      </c>
      <c r="X24" s="422" t="n"/>
      <c r="Y24" s="422" t="n"/>
      <c r="Z24" s="422" t="n"/>
    </row>
    <row r="25">
      <c r="A25" s="423">
        <f>DATE('Seguimiento Diario'!$S$4,VALUE(LEFT('Seguimiento Diario'!$S$3,FIND("-",'Seguimiento Diario'!$S$3)-1)),21)</f>
        <v/>
      </c>
      <c r="B25" s="424">
        <f>'Seguimiento Diario'!E26</f>
        <v/>
      </c>
      <c r="C25" s="424">
        <f>'Seguimiento Diario'!D26</f>
        <v/>
      </c>
      <c r="D25" s="424" t="n">
        <v>0</v>
      </c>
      <c r="E25" s="425" t="n">
        <v>14</v>
      </c>
      <c r="F25" s="426">
        <f>'Seguimiento Diario'!L26</f>
        <v/>
      </c>
      <c r="G25" s="424" t="n">
        <v>85</v>
      </c>
      <c r="H25" s="427">
        <f>B25/G25</f>
        <v/>
      </c>
      <c r="I25" s="428">
        <f>'Seguimiento Diario'!H26</f>
        <v/>
      </c>
      <c r="J25" s="428">
        <f>'Seguimiento Diario'!G26</f>
        <v/>
      </c>
      <c r="K25" s="428">
        <f>I25/G25</f>
        <v/>
      </c>
      <c r="L25" s="424" t="n">
        <v>0</v>
      </c>
      <c r="M25" s="424" t="n">
        <v>0</v>
      </c>
      <c r="N25" s="424" t="n">
        <v>0</v>
      </c>
      <c r="O25" s="424" t="n">
        <v>0</v>
      </c>
      <c r="P25" s="424" t="n">
        <v>84</v>
      </c>
      <c r="Q25" s="424" t="n">
        <v>0</v>
      </c>
      <c r="R25" s="424" t="n">
        <v>0</v>
      </c>
      <c r="S25" s="424" t="n">
        <v>0</v>
      </c>
      <c r="T25" s="424">
        <f>B25-C25</f>
        <v/>
      </c>
      <c r="U25" s="429">
        <f>IF(P25&gt;0,I25/P25,0)</f>
        <v/>
      </c>
      <c r="V25" s="427">
        <f>IF(B25&gt;0,(D25+E25)/2/B25,0)</f>
        <v/>
      </c>
      <c r="W25" s="424">
        <f>SUM($F$5:F25)</f>
        <v/>
      </c>
      <c r="X25" s="422" t="n"/>
      <c r="Y25" s="422" t="n"/>
      <c r="Z25" s="422" t="n"/>
    </row>
    <row r="26">
      <c r="A26" s="430">
        <f>DATE('Seguimiento Diario'!$S$4,VALUE(LEFT('Seguimiento Diario'!$S$3,FIND("-",'Seguimiento Diario'!$S$3)-1)),22)</f>
        <v/>
      </c>
      <c r="B26" s="431">
        <f>'Seguimiento Diario'!E27</f>
        <v/>
      </c>
      <c r="C26" s="431">
        <f>'Seguimiento Diario'!D27</f>
        <v/>
      </c>
      <c r="D26" s="431" t="n">
        <v>0</v>
      </c>
      <c r="E26" s="432" t="n">
        <v>1</v>
      </c>
      <c r="F26" s="433">
        <f>'Seguimiento Diario'!L27</f>
        <v/>
      </c>
      <c r="G26" s="431" t="n">
        <v>85</v>
      </c>
      <c r="H26" s="437">
        <f>B26/G26</f>
        <v/>
      </c>
      <c r="I26" s="435">
        <f>'Seguimiento Diario'!H27</f>
        <v/>
      </c>
      <c r="J26" s="435">
        <f>'Seguimiento Diario'!G27</f>
        <v/>
      </c>
      <c r="K26" s="435">
        <f>I26/G26</f>
        <v/>
      </c>
      <c r="L26" s="431" t="n">
        <v>0</v>
      </c>
      <c r="M26" s="431" t="n">
        <v>0</v>
      </c>
      <c r="N26" s="431" t="n">
        <v>0</v>
      </c>
      <c r="O26" s="431" t="n">
        <v>0</v>
      </c>
      <c r="P26" s="431" t="n">
        <v>82</v>
      </c>
      <c r="Q26" s="431" t="n">
        <v>0</v>
      </c>
      <c r="R26" s="431" t="n">
        <v>0</v>
      </c>
      <c r="S26" s="431" t="n">
        <v>0</v>
      </c>
      <c r="T26" s="431">
        <f>B26-C26</f>
        <v/>
      </c>
      <c r="U26" s="436">
        <f>IF(P26&gt;0,I26/P26,0)</f>
        <v/>
      </c>
      <c r="V26" s="437">
        <f>IF(B26&gt;0,(D26+E26)/2/B26,0)</f>
        <v/>
      </c>
      <c r="W26" s="431">
        <f>SUM($F$5:F26)</f>
        <v/>
      </c>
      <c r="X26" s="422" t="n"/>
      <c r="Y26" s="422" t="n"/>
      <c r="Z26" s="422" t="n"/>
    </row>
    <row r="27">
      <c r="A27" s="423">
        <f>DATE('Seguimiento Diario'!$S$4,VALUE(LEFT('Seguimiento Diario'!$S$3,FIND("-",'Seguimiento Diario'!$S$3)-1)),23)</f>
        <v/>
      </c>
      <c r="B27" s="424">
        <f>'Seguimiento Diario'!E28</f>
        <v/>
      </c>
      <c r="C27" s="424">
        <f>'Seguimiento Diario'!D28</f>
        <v/>
      </c>
      <c r="D27" s="424" t="n">
        <v>0</v>
      </c>
      <c r="E27" s="424" t="n">
        <v>0</v>
      </c>
      <c r="F27" s="426">
        <f>'Seguimiento Diario'!L28</f>
        <v/>
      </c>
      <c r="G27" s="424" t="n">
        <v>85</v>
      </c>
      <c r="H27" s="427">
        <f>B27/G27</f>
        <v/>
      </c>
      <c r="I27" s="428">
        <f>'Seguimiento Diario'!H28</f>
        <v/>
      </c>
      <c r="J27" s="428">
        <f>'Seguimiento Diario'!G28</f>
        <v/>
      </c>
      <c r="K27" s="428">
        <f>I27/G27</f>
        <v/>
      </c>
      <c r="L27" s="424" t="n">
        <v>0</v>
      </c>
      <c r="M27" s="424" t="n">
        <v>0</v>
      </c>
      <c r="N27" s="424" t="n">
        <v>0</v>
      </c>
      <c r="O27" s="424" t="n">
        <v>0</v>
      </c>
      <c r="P27" s="424" t="n">
        <v>82</v>
      </c>
      <c r="Q27" s="424" t="n">
        <v>0</v>
      </c>
      <c r="R27" s="424" t="n">
        <v>0</v>
      </c>
      <c r="S27" s="424" t="n">
        <v>0</v>
      </c>
      <c r="T27" s="424">
        <f>B27-C27</f>
        <v/>
      </c>
      <c r="U27" s="429">
        <f>IF(P27&gt;0,I27/P27,0)</f>
        <v/>
      </c>
      <c r="V27" s="427">
        <f>IF(B27&gt;0,(D27+E27)/2/B27,0)</f>
        <v/>
      </c>
      <c r="W27" s="424">
        <f>SUM($F$5:F27)</f>
        <v/>
      </c>
      <c r="X27" s="422" t="n"/>
      <c r="Y27" s="422" t="n"/>
      <c r="Z27" s="422" t="n"/>
    </row>
    <row r="28">
      <c r="A28" s="430">
        <f>DATE('Seguimiento Diario'!$S$4,VALUE(LEFT('Seguimiento Diario'!$S$3,FIND("-",'Seguimiento Diario'!$S$3)-1)),24)</f>
        <v/>
      </c>
      <c r="B28" s="431">
        <f>'Seguimiento Diario'!E29</f>
        <v/>
      </c>
      <c r="C28" s="431">
        <f>'Seguimiento Diario'!D29</f>
        <v/>
      </c>
      <c r="D28" s="431" t="n">
        <v>0</v>
      </c>
      <c r="E28" s="431" t="n">
        <v>0</v>
      </c>
      <c r="F28" s="433">
        <f>'Seguimiento Diario'!L29</f>
        <v/>
      </c>
      <c r="G28" s="431" t="n">
        <v>85</v>
      </c>
      <c r="H28" s="437">
        <f>B28/G28</f>
        <v/>
      </c>
      <c r="I28" s="435">
        <f>'Seguimiento Diario'!H29</f>
        <v/>
      </c>
      <c r="J28" s="435">
        <f>'Seguimiento Diario'!G29</f>
        <v/>
      </c>
      <c r="K28" s="435">
        <f>I28/G28</f>
        <v/>
      </c>
      <c r="L28" s="431" t="n">
        <v>0</v>
      </c>
      <c r="M28" s="431" t="n">
        <v>0</v>
      </c>
      <c r="N28" s="431" t="n">
        <v>0</v>
      </c>
      <c r="O28" s="431" t="n">
        <v>0</v>
      </c>
      <c r="P28" s="431" t="n">
        <v>82</v>
      </c>
      <c r="Q28" s="431" t="n">
        <v>0</v>
      </c>
      <c r="R28" s="431" t="n">
        <v>0</v>
      </c>
      <c r="S28" s="431" t="n">
        <v>0</v>
      </c>
      <c r="T28" s="431">
        <f>B28-C28</f>
        <v/>
      </c>
      <c r="U28" s="436">
        <f>IF(P28&gt;0,I28/P28,0)</f>
        <v/>
      </c>
      <c r="V28" s="437">
        <f>IF(B28&gt;0,(D28+E28)/2/B28,0)</f>
        <v/>
      </c>
      <c r="W28" s="431">
        <f>SUM($F$5:F28)</f>
        <v/>
      </c>
      <c r="X28" s="422" t="n"/>
      <c r="Y28" s="422" t="n"/>
      <c r="Z28" s="422" t="n"/>
    </row>
    <row r="29">
      <c r="A29" s="423">
        <f>DATE('Seguimiento Diario'!$S$4,VALUE(LEFT('Seguimiento Diario'!$S$3,FIND("-",'Seguimiento Diario'!$S$3)-1)),25)</f>
        <v/>
      </c>
      <c r="B29" s="424">
        <f>'Seguimiento Diario'!E30</f>
        <v/>
      </c>
      <c r="C29" s="424">
        <f>'Seguimiento Diario'!D30</f>
        <v/>
      </c>
      <c r="D29" s="424" t="n">
        <v>0</v>
      </c>
      <c r="E29" s="424" t="n">
        <v>0</v>
      </c>
      <c r="F29" s="426">
        <f>'Seguimiento Diario'!L30</f>
        <v/>
      </c>
      <c r="G29" s="424" t="n">
        <v>85</v>
      </c>
      <c r="H29" s="427">
        <f>B29/G29</f>
        <v/>
      </c>
      <c r="I29" s="428">
        <f>'Seguimiento Diario'!H30</f>
        <v/>
      </c>
      <c r="J29" s="428">
        <f>'Seguimiento Diario'!G30</f>
        <v/>
      </c>
      <c r="K29" s="428">
        <f>I29/G29</f>
        <v/>
      </c>
      <c r="L29" s="424" t="n">
        <v>0</v>
      </c>
      <c r="M29" s="424" t="n">
        <v>0</v>
      </c>
      <c r="N29" s="424" t="n">
        <v>0</v>
      </c>
      <c r="O29" s="424" t="n">
        <v>0</v>
      </c>
      <c r="P29" s="424" t="n">
        <v>82</v>
      </c>
      <c r="Q29" s="424" t="n">
        <v>0</v>
      </c>
      <c r="R29" s="424" t="n">
        <v>0</v>
      </c>
      <c r="S29" s="424" t="n">
        <v>0</v>
      </c>
      <c r="T29" s="424">
        <f>B29-C29</f>
        <v/>
      </c>
      <c r="U29" s="429">
        <f>IF(P29&gt;0,I29/P29,0)</f>
        <v/>
      </c>
      <c r="V29" s="427">
        <f>IF(B29&gt;0,(D29+E29)/2/B29,0)</f>
        <v/>
      </c>
      <c r="W29" s="424">
        <f>SUM($F$5:F29)</f>
        <v/>
      </c>
      <c r="X29" s="422" t="n"/>
      <c r="Y29" s="422" t="n"/>
      <c r="Z29" s="422" t="n"/>
    </row>
    <row r="30">
      <c r="A30" s="430">
        <f>DATE('Seguimiento Diario'!$S$4,VALUE(LEFT('Seguimiento Diario'!$S$3,FIND("-",'Seguimiento Diario'!$S$3)-1)),26)</f>
        <v/>
      </c>
      <c r="B30" s="431">
        <f>'Seguimiento Diario'!E31</f>
        <v/>
      </c>
      <c r="C30" s="431">
        <f>'Seguimiento Diario'!D31</f>
        <v/>
      </c>
      <c r="D30" s="431" t="n">
        <v>0</v>
      </c>
      <c r="E30" s="431" t="n">
        <v>0</v>
      </c>
      <c r="F30" s="433">
        <f>'Seguimiento Diario'!L31</f>
        <v/>
      </c>
      <c r="G30" s="431" t="n">
        <v>85</v>
      </c>
      <c r="H30" s="437">
        <f>B30/G30</f>
        <v/>
      </c>
      <c r="I30" s="435">
        <f>'Seguimiento Diario'!H31</f>
        <v/>
      </c>
      <c r="J30" s="435">
        <f>'Seguimiento Diario'!G31</f>
        <v/>
      </c>
      <c r="K30" s="435">
        <f>I30/G30</f>
        <v/>
      </c>
      <c r="L30" s="431" t="n">
        <v>0</v>
      </c>
      <c r="M30" s="431" t="n">
        <v>0</v>
      </c>
      <c r="N30" s="431" t="n">
        <v>0</v>
      </c>
      <c r="O30" s="431" t="n">
        <v>0</v>
      </c>
      <c r="P30" s="431" t="n">
        <v>82</v>
      </c>
      <c r="Q30" s="431" t="n">
        <v>0</v>
      </c>
      <c r="R30" s="431" t="n">
        <v>0</v>
      </c>
      <c r="S30" s="431" t="n">
        <v>0</v>
      </c>
      <c r="T30" s="431">
        <f>B30-C30</f>
        <v/>
      </c>
      <c r="U30" s="436">
        <f>IF(P30&gt;0,I30/P30,0)</f>
        <v/>
      </c>
      <c r="V30" s="437">
        <f>IF(B30&gt;0,(D30+E30)/2/B30,0)</f>
        <v/>
      </c>
      <c r="W30" s="431">
        <f>SUM($F$5:F30)</f>
        <v/>
      </c>
      <c r="X30" s="422" t="n"/>
      <c r="Y30" s="422" t="n"/>
      <c r="Z30" s="422" t="n"/>
    </row>
    <row r="31">
      <c r="A31" s="423">
        <f>DATE('Seguimiento Diario'!$S$4,VALUE(LEFT('Seguimiento Diario'!$S$3,FIND("-",'Seguimiento Diario'!$S$3)-1)),27)</f>
        <v/>
      </c>
      <c r="B31" s="424">
        <f>'Seguimiento Diario'!E32</f>
        <v/>
      </c>
      <c r="C31" s="424">
        <f>'Seguimiento Diario'!D32</f>
        <v/>
      </c>
      <c r="D31" s="424" t="n">
        <v>15</v>
      </c>
      <c r="E31" s="424" t="n">
        <v>0</v>
      </c>
      <c r="F31" s="426">
        <f>'Seguimiento Diario'!L32</f>
        <v/>
      </c>
      <c r="G31" s="424" t="n">
        <v>85</v>
      </c>
      <c r="H31" s="438">
        <f>B31/G31</f>
        <v/>
      </c>
      <c r="I31" s="428">
        <f>'Seguimiento Diario'!H32</f>
        <v/>
      </c>
      <c r="J31" s="428">
        <f>'Seguimiento Diario'!G32</f>
        <v/>
      </c>
      <c r="K31" s="428">
        <f>I31/G31</f>
        <v/>
      </c>
      <c r="L31" s="424" t="n">
        <v>0</v>
      </c>
      <c r="M31" s="424" t="n">
        <v>0</v>
      </c>
      <c r="N31" s="424" t="n">
        <v>0</v>
      </c>
      <c r="O31" s="424" t="n">
        <v>0</v>
      </c>
      <c r="P31" s="424" t="n">
        <v>84</v>
      </c>
      <c r="Q31" s="424" t="n">
        <v>0</v>
      </c>
      <c r="R31" s="424" t="n">
        <v>0</v>
      </c>
      <c r="S31" s="424" t="n">
        <v>0</v>
      </c>
      <c r="T31" s="424">
        <f>B31-C31</f>
        <v/>
      </c>
      <c r="U31" s="429">
        <f>IF(P31&gt;0,I31/P31,0)</f>
        <v/>
      </c>
      <c r="V31" s="427">
        <f>IF(B31&gt;0,(D31+E31)/2/B31,0)</f>
        <v/>
      </c>
      <c r="W31" s="424">
        <f>SUM($F$5:F31)</f>
        <v/>
      </c>
      <c r="X31" s="422" t="n"/>
      <c r="Y31" s="422" t="n"/>
      <c r="Z31" s="422" t="n"/>
    </row>
    <row r="32">
      <c r="A32" s="430">
        <f>DATE('Seguimiento Diario'!$S$4,VALUE(LEFT('Seguimiento Diario'!$S$3,FIND("-",'Seguimiento Diario'!$S$3)-1)),28)</f>
        <v/>
      </c>
      <c r="B32" s="431">
        <f>'Seguimiento Diario'!E33</f>
        <v/>
      </c>
      <c r="C32" s="431">
        <f>'Seguimiento Diario'!D33</f>
        <v/>
      </c>
      <c r="D32" s="431" t="n">
        <v>1</v>
      </c>
      <c r="E32" s="432" t="n">
        <v>15</v>
      </c>
      <c r="F32" s="433">
        <f>'Seguimiento Diario'!L33</f>
        <v/>
      </c>
      <c r="G32" s="431" t="n">
        <v>85</v>
      </c>
      <c r="H32" s="437">
        <f>B32/G32</f>
        <v/>
      </c>
      <c r="I32" s="435">
        <f>'Seguimiento Diario'!H33</f>
        <v/>
      </c>
      <c r="J32" s="435">
        <f>'Seguimiento Diario'!G33</f>
        <v/>
      </c>
      <c r="K32" s="435">
        <f>I32/G32</f>
        <v/>
      </c>
      <c r="L32" s="431" t="n">
        <v>0</v>
      </c>
      <c r="M32" s="431" t="n">
        <v>0</v>
      </c>
      <c r="N32" s="431" t="n">
        <v>0</v>
      </c>
      <c r="O32" s="431" t="n">
        <v>0</v>
      </c>
      <c r="P32" s="431" t="n">
        <v>84</v>
      </c>
      <c r="Q32" s="431" t="n">
        <v>0</v>
      </c>
      <c r="R32" s="431" t="n">
        <v>0</v>
      </c>
      <c r="S32" s="431" t="n">
        <v>0</v>
      </c>
      <c r="T32" s="431">
        <f>B32-C32</f>
        <v/>
      </c>
      <c r="U32" s="436">
        <f>IF(P32&gt;0,I32/P32,0)</f>
        <v/>
      </c>
      <c r="V32" s="437">
        <f>IF(B32&gt;0,(D32+E32)/2/B32,0)</f>
        <v/>
      </c>
      <c r="W32" s="431">
        <f>SUM($F$5:F32)</f>
        <v/>
      </c>
      <c r="X32" s="422" t="n"/>
      <c r="Y32" s="422" t="n"/>
      <c r="Z32" s="422" t="n"/>
    </row>
    <row r="33">
      <c r="A33" s="431">
        <f>IFERROR(IF('Seguimiento Diario'!$S$6&gt;=29,DATE('Seguimiento Diario'!$S$4,VALUE(LEFT('Seguimiento Diario'!$S$3,FIND("-",'Seguimiento Diario'!$S$3)-1)),29),""),"")</f>
        <v/>
      </c>
      <c r="B33" s="431">
        <f>'Seguimiento Diario'!E34</f>
        <v/>
      </c>
      <c r="C33" s="431">
        <f>'Seguimiento Diario'!D34</f>
        <v/>
      </c>
      <c r="D33" s="431" t="n"/>
      <c r="E33" s="431" t="n"/>
      <c r="F33" s="431">
        <f>'Seguimiento Diario'!L34</f>
        <v/>
      </c>
      <c r="G33" s="431">
        <f>IF('Seguimiento Diario'!E34&lt;&gt;"",85,0)</f>
        <v/>
      </c>
      <c r="H33" s="431">
        <f>IFERROR(IF(G33&gt;0,B33/G33,""),"")</f>
        <v/>
      </c>
      <c r="I33" s="562">
        <f>'Seguimiento Diario'!H34</f>
        <v/>
      </c>
      <c r="J33" s="562">
        <f>'Seguimiento Diario'!G34</f>
        <v/>
      </c>
      <c r="K33" s="562">
        <f>IFERROR(IF(G33&gt;0,I33/G33,""),"")</f>
        <v/>
      </c>
      <c r="L33" s="431" t="n"/>
      <c r="M33" s="431" t="n"/>
      <c r="N33" s="431" t="n"/>
      <c r="O33" s="431" t="n"/>
      <c r="P33" s="431" t="n"/>
      <c r="Q33" s="431" t="n"/>
      <c r="R33" s="431" t="n"/>
      <c r="S33" s="431" t="n"/>
      <c r="T33" s="431">
        <f>IF(B33&lt;&gt;"",B33-C33,"")</f>
        <v/>
      </c>
      <c r="U33" s="562">
        <f>IFERROR(IF(B33&gt;0,I33/B33,0),0)</f>
        <v/>
      </c>
      <c r="V33" s="431">
        <f>IFERROR(IF(B33&gt;0,(D33+E33)/2/B33,0),0)</f>
        <v/>
      </c>
      <c r="W33" s="431">
        <f>SUM($F$5:F33)</f>
        <v/>
      </c>
      <c r="X33" s="422" t="n"/>
      <c r="Y33" s="422" t="n"/>
      <c r="Z33" s="422" t="n"/>
    </row>
    <row r="34">
      <c r="A34" s="431">
        <f>IFERROR(IF('Seguimiento Diario'!$S$6&gt;=30,DATE('Seguimiento Diario'!$S$4,VALUE(LEFT('Seguimiento Diario'!$S$3,FIND("-",'Seguimiento Diario'!$S$3)-1)),30),""),"")</f>
        <v/>
      </c>
      <c r="B34" s="431">
        <f>'Seguimiento Diario'!E35</f>
        <v/>
      </c>
      <c r="C34" s="431">
        <f>'Seguimiento Diario'!D35</f>
        <v/>
      </c>
      <c r="D34" s="431" t="n"/>
      <c r="E34" s="431" t="n"/>
      <c r="F34" s="433">
        <f>'Seguimiento Diario'!L35</f>
        <v/>
      </c>
      <c r="G34" s="431">
        <f>IF('Seguimiento Diario'!E35&lt;&gt;"",85,0)</f>
        <v/>
      </c>
      <c r="H34" s="437">
        <f>IFERROR(IF(G34&gt;0,B34/G34,""),"")</f>
        <v/>
      </c>
      <c r="I34" s="435">
        <f>'Seguimiento Diario'!H35</f>
        <v/>
      </c>
      <c r="J34" s="435">
        <f>'Seguimiento Diario'!G35</f>
        <v/>
      </c>
      <c r="K34" s="435">
        <f>IFERROR(IF(G34&gt;0,I34/G34,""),"")</f>
        <v/>
      </c>
      <c r="L34" s="431" t="n"/>
      <c r="M34" s="431" t="n"/>
      <c r="N34" s="431" t="n"/>
      <c r="O34" s="431" t="n"/>
      <c r="P34" s="431" t="n"/>
      <c r="Q34" s="431" t="n"/>
      <c r="R34" s="431" t="n"/>
      <c r="S34" s="431" t="n"/>
      <c r="T34" s="431">
        <f>IF(B34&lt;&gt;"",B34-C34,"")</f>
        <v/>
      </c>
      <c r="U34" s="436">
        <f>IFERROR(IF(B34&gt;0,I34/B34,0),0)</f>
        <v/>
      </c>
      <c r="V34" s="437">
        <f>IFERROR(IF(B34&gt;0,(D34+E34)/2/B34,0),0)</f>
        <v/>
      </c>
      <c r="W34" s="431">
        <f>SUM($F$5:F34)</f>
        <v/>
      </c>
      <c r="X34" s="422" t="n"/>
      <c r="Y34" s="422" t="n"/>
      <c r="Z34" s="422" t="n"/>
    </row>
    <row r="35">
      <c r="A35" s="224">
        <f>IFERROR(IF('Seguimiento Diario'!$S$6&gt;=31,DATE('Seguimiento Diario'!$S$4,VALUE(LEFT('Seguimiento Diario'!$S$3,FIND("-",'Seguimiento Diario'!$S$3)-1)),31),""),"")</f>
        <v/>
      </c>
      <c r="B35" s="224">
        <f>'Seguimiento Diario'!E36</f>
        <v/>
      </c>
      <c r="C35" s="224">
        <f>'Seguimiento Diario'!D36</f>
        <v/>
      </c>
      <c r="D35" s="224" t="n"/>
      <c r="E35" s="224" t="n"/>
      <c r="F35" s="224">
        <f>'Seguimiento Diario'!L36</f>
        <v/>
      </c>
      <c r="G35" s="224">
        <f>IF('Seguimiento Diario'!E36&lt;&gt;"",85,0)</f>
        <v/>
      </c>
      <c r="H35" s="224">
        <f>IFERROR(IF(G35&gt;0,B35/G35,""),"")</f>
        <v/>
      </c>
      <c r="I35" s="563">
        <f>'Seguimiento Diario'!H36</f>
        <v/>
      </c>
      <c r="J35" s="563">
        <f>'Seguimiento Diario'!G36</f>
        <v/>
      </c>
      <c r="K35" s="563">
        <f>IFERROR(IF(G35&gt;0,I35/G35,""),"")</f>
        <v/>
      </c>
      <c r="L35" s="224" t="n"/>
      <c r="M35" s="224" t="n"/>
      <c r="N35" s="224" t="n"/>
      <c r="O35" s="224" t="n"/>
      <c r="P35" s="224" t="n"/>
      <c r="Q35" s="224" t="n"/>
      <c r="R35" s="224" t="n"/>
      <c r="S35" s="224" t="n"/>
      <c r="T35" s="224">
        <f>IF(B35&lt;&gt;"",B35-C35,"")</f>
        <v/>
      </c>
      <c r="U35" s="563">
        <f>IFERROR(IF(B35&gt;0,I35/B35,0),0)</f>
        <v/>
      </c>
      <c r="V35" s="224">
        <f>IFERROR(IF(B35&gt;0,(D35+E35)/2/B35,0),0)</f>
        <v/>
      </c>
      <c r="W35" s="224">
        <f>SUM($F$5:F35)</f>
        <v/>
      </c>
      <c r="X35" s="213" t="n"/>
      <c r="Y35" s="213" t="n"/>
      <c r="Z35" s="213" t="n"/>
    </row>
    <row r="36" hidden="1">
      <c r="A36" s="213" t="n"/>
      <c r="B36" s="213" t="n"/>
      <c r="C36" s="213" t="n"/>
      <c r="D36" s="213" t="n"/>
      <c r="E36" s="213" t="n"/>
      <c r="F36" s="213" t="n"/>
      <c r="G36" s="213" t="n"/>
      <c r="H36" s="213" t="n"/>
      <c r="I36" s="213" t="n"/>
      <c r="J36" s="213" t="n"/>
      <c r="K36" s="213" t="n"/>
      <c r="L36" s="213" t="n"/>
      <c r="M36" s="213" t="n"/>
      <c r="N36" s="213" t="n"/>
      <c r="O36" s="213" t="n"/>
      <c r="P36" s="213" t="n"/>
      <c r="Q36" s="213" t="n"/>
      <c r="R36" s="213" t="n"/>
      <c r="S36" s="213" t="n"/>
      <c r="T36" s="213" t="n"/>
      <c r="U36" s="213" t="n"/>
      <c r="V36" s="213" t="n"/>
      <c r="W36" s="213" t="n"/>
      <c r="X36" s="213" t="n"/>
      <c r="Y36" s="234" t="inlineStr">
        <is>
          <t>FECHA</t>
        </is>
      </c>
      <c r="Z36" s="234" t="inlineStr">
        <is>
          <t>INGRESOS</t>
        </is>
      </c>
    </row>
    <row r="37" hidden="1">
      <c r="A37" s="230">
        <f>IF('Seguimiento Diario'!S3&lt;&gt;"", "TOTALES "&amp;'Seguimiento Diario'!S3, "TOTALES")</f>
        <v/>
      </c>
      <c r="B37" s="230">
        <f>SUM(B5:B35)</f>
        <v/>
      </c>
      <c r="C37" s="230">
        <f>SUM(C5:C35)</f>
        <v/>
      </c>
      <c r="D37" s="230">
        <f>SUM(D5:D35)</f>
        <v/>
      </c>
      <c r="E37" s="230">
        <f>SUM(E5:E35)</f>
        <v/>
      </c>
      <c r="F37" s="230">
        <f>SUM(F5:F35)</f>
        <v/>
      </c>
      <c r="G37" s="230">
        <f>SUMIF(G5:G35,"&gt;0")</f>
        <v/>
      </c>
      <c r="H37" s="230">
        <f>IFERROR(IF(G37&gt;0,B37/G37,""),"")</f>
        <v/>
      </c>
      <c r="I37" s="564">
        <f>SUM(I5:I35)</f>
        <v/>
      </c>
      <c r="J37" s="564">
        <f>IFERROR(AVERAGEIF(J5:J35,"&gt;0"),"")</f>
        <v/>
      </c>
      <c r="K37" s="564">
        <f>IFERROR(IF(G37&gt;0,I37/G37,""),"")</f>
        <v/>
      </c>
      <c r="L37" s="230">
        <f>SUMIF(L5:L35,"&lt;&gt;")</f>
        <v/>
      </c>
      <c r="M37" s="230">
        <f>SUMIF(M5:M35,"&lt;&gt;")</f>
        <v/>
      </c>
      <c r="N37" s="230">
        <f>SUMIF(N5:N35,"&lt;&gt;")</f>
        <v/>
      </c>
      <c r="O37" s="230">
        <f>SUMIF(O5:O35,"&lt;&gt;")</f>
        <v/>
      </c>
      <c r="P37" s="230">
        <f>SUMIF(P5:P35,"&lt;&gt;")</f>
        <v/>
      </c>
      <c r="Q37" s="230">
        <f>SUMIF(Q5:Q35,"&lt;&gt;")</f>
        <v/>
      </c>
      <c r="R37" s="230">
        <f>SUMIF(R5:R35,"&lt;&gt;")</f>
        <v/>
      </c>
      <c r="S37" s="230" t="n">
        <v>0</v>
      </c>
      <c r="T37" s="230">
        <f>SUM(T5:T35)</f>
        <v/>
      </c>
      <c r="U37" s="564">
        <f>IFERROR(AVERAGEIF(U5:U35,"&gt;0"),"")</f>
        <v/>
      </c>
      <c r="V37" s="230">
        <f>IFERROR(AVERAGEIF(V5:V35,"&gt;0"),"")</f>
        <v/>
      </c>
      <c r="W37" s="230">
        <f>MAX(W5:W35)</f>
        <v/>
      </c>
      <c r="X37" s="213" t="n"/>
      <c r="Y37" s="235">
        <f>A5</f>
        <v/>
      </c>
      <c r="Z37" s="236">
        <f>I5</f>
        <v/>
      </c>
    </row>
    <row r="38" hidden="1">
      <c r="A38" s="213" t="n"/>
      <c r="B38" s="213" t="n"/>
      <c r="C38" s="213" t="n"/>
      <c r="D38" s="213" t="n"/>
      <c r="E38" s="213" t="n"/>
      <c r="F38" s="213" t="n"/>
      <c r="G38" s="213" t="n"/>
      <c r="H38" s="213" t="n"/>
      <c r="I38" s="213" t="n"/>
      <c r="J38" s="213" t="n"/>
      <c r="K38" s="213" t="n"/>
      <c r="L38" s="213" t="n"/>
      <c r="M38" s="213" t="n"/>
      <c r="N38" s="213" t="n"/>
      <c r="O38" s="213" t="n"/>
      <c r="P38" s="213" t="n"/>
      <c r="Q38" s="213" t="n"/>
      <c r="R38" s="213" t="n"/>
      <c r="S38" s="213" t="n"/>
      <c r="T38" s="213" t="n"/>
      <c r="U38" s="213" t="n"/>
      <c r="V38" s="213" t="n"/>
      <c r="W38" s="213" t="n"/>
      <c r="X38" s="213" t="n"/>
      <c r="Y38" s="235">
        <f>A6</f>
        <v/>
      </c>
      <c r="Z38" s="236">
        <f>I6</f>
        <v/>
      </c>
    </row>
    <row r="39" hidden="1">
      <c r="A39" s="213" t="n"/>
      <c r="B39" s="213" t="n"/>
      <c r="C39" s="213" t="n"/>
      <c r="D39" s="213" t="n"/>
      <c r="E39" s="213" t="n"/>
      <c r="F39" s="213" t="n"/>
      <c r="G39" s="213" t="n"/>
      <c r="H39" s="213" t="n"/>
      <c r="I39" s="213" t="n"/>
      <c r="J39" s="213" t="n"/>
      <c r="K39" s="213" t="n"/>
      <c r="L39" s="213" t="n"/>
      <c r="M39" s="213" t="n"/>
      <c r="N39" s="213" t="n"/>
      <c r="O39" s="213" t="n"/>
      <c r="P39" s="213" t="n"/>
      <c r="Q39" s="213" t="n"/>
      <c r="R39" s="213" t="n"/>
      <c r="S39" s="213" t="n"/>
      <c r="T39" s="213" t="n"/>
      <c r="U39" s="213" t="n"/>
      <c r="V39" s="213" t="n"/>
      <c r="W39" s="213" t="n"/>
      <c r="X39" s="213" t="n"/>
      <c r="Y39" s="235">
        <f>A7</f>
        <v/>
      </c>
      <c r="Z39" s="236">
        <f>I7</f>
        <v/>
      </c>
    </row>
    <row r="40" hidden="1">
      <c r="A40" s="213" t="n"/>
      <c r="B40" s="213" t="n"/>
      <c r="C40" s="213" t="n"/>
      <c r="D40" s="213" t="n"/>
      <c r="E40" s="213" t="n"/>
      <c r="F40" s="213" t="n"/>
      <c r="G40" s="213" t="n"/>
      <c r="H40" s="213" t="n"/>
      <c r="I40" s="213" t="n"/>
      <c r="J40" s="213" t="n"/>
      <c r="K40" s="213" t="n"/>
      <c r="L40" s="213" t="n"/>
      <c r="M40" s="213" t="n"/>
      <c r="N40" s="213" t="n"/>
      <c r="O40" s="213" t="n"/>
      <c r="P40" s="213" t="n"/>
      <c r="Q40" s="213" t="n"/>
      <c r="R40" s="213" t="n"/>
      <c r="S40" s="213" t="n"/>
      <c r="T40" s="213" t="n"/>
      <c r="U40" s="213" t="n"/>
      <c r="V40" s="213" t="n"/>
      <c r="W40" s="213" t="n"/>
      <c r="X40" s="213" t="n"/>
      <c r="Y40" s="235">
        <f>A8</f>
        <v/>
      </c>
      <c r="Z40" s="236">
        <f>I8</f>
        <v/>
      </c>
    </row>
    <row r="41" hidden="1">
      <c r="A41" s="213" t="n"/>
      <c r="B41" s="213" t="n"/>
      <c r="C41" s="213" t="n"/>
      <c r="D41" s="213" t="n"/>
      <c r="E41" s="213" t="n"/>
      <c r="F41" s="213" t="n"/>
      <c r="G41" s="213" t="n"/>
      <c r="H41" s="213" t="n"/>
      <c r="I41" s="213" t="n"/>
      <c r="J41" s="213" t="n"/>
      <c r="K41" s="213" t="n"/>
      <c r="L41" s="213" t="n"/>
      <c r="M41" s="213" t="n"/>
      <c r="N41" s="213" t="n"/>
      <c r="O41" s="213" t="n"/>
      <c r="P41" s="213" t="n"/>
      <c r="Q41" s="213" t="n"/>
      <c r="R41" s="213" t="n"/>
      <c r="S41" s="213" t="n"/>
      <c r="T41" s="213" t="n"/>
      <c r="U41" s="213" t="n"/>
      <c r="V41" s="213" t="n"/>
      <c r="W41" s="213" t="n"/>
      <c r="X41" s="213" t="n"/>
      <c r="Y41" s="235">
        <f>A9</f>
        <v/>
      </c>
      <c r="Z41" s="236">
        <f>I9</f>
        <v/>
      </c>
    </row>
    <row r="42" hidden="1">
      <c r="A42" s="213" t="n"/>
      <c r="B42" s="213" t="n"/>
      <c r="C42" s="213" t="n"/>
      <c r="D42" s="213" t="n"/>
      <c r="E42" s="213" t="n"/>
      <c r="F42" s="213" t="n"/>
      <c r="G42" s="213" t="n"/>
      <c r="H42" s="213" t="n"/>
      <c r="I42" s="213" t="n"/>
      <c r="J42" s="213" t="n"/>
      <c r="K42" s="213" t="n"/>
      <c r="L42" s="213" t="n"/>
      <c r="M42" s="213" t="n"/>
      <c r="N42" s="213" t="n"/>
      <c r="O42" s="213" t="n"/>
      <c r="P42" s="213" t="n"/>
      <c r="Q42" s="213" t="n"/>
      <c r="R42" s="213" t="n"/>
      <c r="S42" s="213" t="n"/>
      <c r="T42" s="213" t="n"/>
      <c r="U42" s="213" t="n"/>
      <c r="V42" s="213" t="n"/>
      <c r="W42" s="213" t="n"/>
      <c r="X42" s="213" t="n"/>
      <c r="Y42" s="235">
        <f>A10</f>
        <v/>
      </c>
      <c r="Z42" s="236">
        <f>I10</f>
        <v/>
      </c>
    </row>
    <row r="43" hidden="1">
      <c r="A43" s="213" t="n"/>
      <c r="B43" s="213" t="n"/>
      <c r="C43" s="213" t="n"/>
      <c r="D43" s="213" t="n"/>
      <c r="E43" s="213" t="n"/>
      <c r="F43" s="213" t="n"/>
      <c r="G43" s="213" t="n"/>
      <c r="H43" s="213" t="n"/>
      <c r="I43" s="213" t="n"/>
      <c r="J43" s="213" t="n"/>
      <c r="K43" s="213" t="n"/>
      <c r="L43" s="213" t="n"/>
      <c r="M43" s="213" t="n"/>
      <c r="N43" s="213" t="n"/>
      <c r="O43" s="213" t="n"/>
      <c r="P43" s="213" t="n"/>
      <c r="Q43" s="213" t="n"/>
      <c r="R43" s="213" t="n"/>
      <c r="S43" s="213" t="n"/>
      <c r="T43" s="213" t="n"/>
      <c r="U43" s="213" t="n"/>
      <c r="V43" s="213" t="n"/>
      <c r="W43" s="213" t="n"/>
      <c r="X43" s="213" t="n"/>
      <c r="Y43" s="235">
        <f>A11</f>
        <v/>
      </c>
      <c r="Z43" s="236">
        <f>I11</f>
        <v/>
      </c>
    </row>
    <row r="44" hidden="1">
      <c r="A44" s="213" t="n"/>
      <c r="B44" s="213" t="n"/>
      <c r="C44" s="213" t="n"/>
      <c r="D44" s="213" t="n"/>
      <c r="E44" s="213" t="n"/>
      <c r="F44" s="213" t="n"/>
      <c r="G44" s="213" t="n"/>
      <c r="H44" s="213" t="n"/>
      <c r="I44" s="213" t="n"/>
      <c r="J44" s="213" t="n"/>
      <c r="K44" s="213" t="n"/>
      <c r="L44" s="213" t="n"/>
      <c r="M44" s="213" t="n"/>
      <c r="N44" s="213" t="n"/>
      <c r="O44" s="213" t="n"/>
      <c r="P44" s="213" t="n"/>
      <c r="Q44" s="213" t="n"/>
      <c r="R44" s="213" t="n"/>
      <c r="S44" s="213" t="n"/>
      <c r="T44" s="213" t="n"/>
      <c r="U44" s="213" t="n"/>
      <c r="V44" s="213" t="n"/>
      <c r="W44" s="213" t="n"/>
      <c r="X44" s="213" t="n"/>
      <c r="Y44" s="235">
        <f>A12</f>
        <v/>
      </c>
      <c r="Z44" s="236">
        <f>I12</f>
        <v/>
      </c>
    </row>
    <row r="45" hidden="1">
      <c r="A45" s="213" t="n"/>
      <c r="B45" s="213" t="n"/>
      <c r="C45" s="213" t="n"/>
      <c r="D45" s="213" t="n"/>
      <c r="E45" s="213" t="n"/>
      <c r="F45" s="213" t="n"/>
      <c r="G45" s="213" t="n"/>
      <c r="H45" s="213" t="n"/>
      <c r="I45" s="213" t="n"/>
      <c r="J45" s="213" t="n"/>
      <c r="K45" s="213" t="n"/>
      <c r="L45" s="213" t="n"/>
      <c r="M45" s="213" t="n"/>
      <c r="N45" s="213" t="n"/>
      <c r="O45" s="213" t="n"/>
      <c r="P45" s="213" t="n"/>
      <c r="Q45" s="213" t="n"/>
      <c r="R45" s="213" t="n"/>
      <c r="S45" s="213" t="n"/>
      <c r="T45" s="213" t="n"/>
      <c r="U45" s="213" t="n"/>
      <c r="V45" s="213" t="n"/>
      <c r="W45" s="213" t="n"/>
      <c r="X45" s="213" t="n"/>
      <c r="Y45" s="235">
        <f>A13</f>
        <v/>
      </c>
      <c r="Z45" s="236">
        <f>I13</f>
        <v/>
      </c>
    </row>
    <row r="46" hidden="1">
      <c r="A46" s="213" t="n"/>
      <c r="B46" s="213" t="n"/>
      <c r="C46" s="213" t="n"/>
      <c r="D46" s="213" t="n"/>
      <c r="E46" s="213" t="n"/>
      <c r="F46" s="213" t="n"/>
      <c r="G46" s="213" t="n"/>
      <c r="H46" s="213" t="n"/>
      <c r="I46" s="213" t="n"/>
      <c r="J46" s="213" t="n"/>
      <c r="K46" s="213" t="n"/>
      <c r="L46" s="213" t="n"/>
      <c r="M46" s="213" t="n"/>
      <c r="N46" s="213" t="n"/>
      <c r="O46" s="213" t="n"/>
      <c r="P46" s="213" t="n"/>
      <c r="Q46" s="213" t="n"/>
      <c r="R46" s="213" t="n"/>
      <c r="S46" s="213" t="n"/>
      <c r="T46" s="213" t="n"/>
      <c r="U46" s="213" t="n"/>
      <c r="V46" s="213" t="n"/>
      <c r="W46" s="213" t="n"/>
      <c r="X46" s="213" t="n"/>
      <c r="Y46" s="235">
        <f>A14</f>
        <v/>
      </c>
      <c r="Z46" s="236">
        <f>I14</f>
        <v/>
      </c>
    </row>
    <row r="47" hidden="1">
      <c r="A47" s="213" t="n"/>
      <c r="B47" s="213" t="n"/>
      <c r="C47" s="213" t="n"/>
      <c r="D47" s="213" t="n"/>
      <c r="E47" s="213" t="n"/>
      <c r="F47" s="213" t="n"/>
      <c r="G47" s="213" t="n"/>
      <c r="H47" s="213" t="n"/>
      <c r="I47" s="213" t="n"/>
      <c r="J47" s="213" t="n"/>
      <c r="K47" s="213" t="n"/>
      <c r="L47" s="213" t="n"/>
      <c r="M47" s="213" t="n"/>
      <c r="N47" s="213" t="n"/>
      <c r="O47" s="213" t="n"/>
      <c r="P47" s="213" t="n"/>
      <c r="Q47" s="213" t="n"/>
      <c r="R47" s="213" t="n"/>
      <c r="S47" s="213" t="n"/>
      <c r="T47" s="213" t="n"/>
      <c r="U47" s="213" t="n"/>
      <c r="V47" s="213" t="n"/>
      <c r="W47" s="213" t="n"/>
      <c r="X47" s="213" t="n"/>
      <c r="Y47" s="235">
        <f>A15</f>
        <v/>
      </c>
      <c r="Z47" s="236">
        <f>I15</f>
        <v/>
      </c>
    </row>
    <row r="48" hidden="1">
      <c r="A48" s="213" t="n"/>
      <c r="B48" s="213" t="n"/>
      <c r="C48" s="213" t="n"/>
      <c r="D48" s="213" t="n"/>
      <c r="E48" s="213" t="n"/>
      <c r="F48" s="213" t="n"/>
      <c r="G48" s="213" t="n"/>
      <c r="H48" s="213" t="n"/>
      <c r="I48" s="213" t="n"/>
      <c r="J48" s="213" t="n"/>
      <c r="K48" s="213" t="n"/>
      <c r="L48" s="213" t="n"/>
      <c r="M48" s="213" t="n"/>
      <c r="N48" s="213" t="n"/>
      <c r="O48" s="213" t="n"/>
      <c r="P48" s="213" t="n"/>
      <c r="Q48" s="213" t="n"/>
      <c r="R48" s="213" t="n"/>
      <c r="S48" s="213" t="n"/>
      <c r="T48" s="213" t="n"/>
      <c r="U48" s="213" t="n"/>
      <c r="V48" s="213" t="n"/>
      <c r="W48" s="213" t="n"/>
      <c r="X48" s="213" t="n"/>
      <c r="Y48" s="235">
        <f>A16</f>
        <v/>
      </c>
      <c r="Z48" s="236">
        <f>I16</f>
        <v/>
      </c>
    </row>
    <row r="49" hidden="1">
      <c r="A49" s="213" t="n"/>
      <c r="B49" s="213" t="n"/>
      <c r="C49" s="213" t="n"/>
      <c r="D49" s="213" t="n"/>
      <c r="E49" s="213" t="n"/>
      <c r="F49" s="213" t="n"/>
      <c r="G49" s="213" t="n"/>
      <c r="H49" s="213" t="n"/>
      <c r="I49" s="213" t="n"/>
      <c r="J49" s="213" t="n"/>
      <c r="K49" s="213" t="n"/>
      <c r="L49" s="213" t="n"/>
      <c r="M49" s="213" t="n"/>
      <c r="N49" s="213" t="n"/>
      <c r="O49" s="213" t="n"/>
      <c r="P49" s="213" t="n"/>
      <c r="Q49" s="213" t="n"/>
      <c r="R49" s="213" t="n"/>
      <c r="S49" s="213" t="n"/>
      <c r="T49" s="213" t="n"/>
      <c r="U49" s="213" t="n"/>
      <c r="V49" s="213" t="n"/>
      <c r="W49" s="213" t="n"/>
      <c r="X49" s="213" t="n"/>
      <c r="Y49" s="235">
        <f>A17</f>
        <v/>
      </c>
      <c r="Z49" s="236">
        <f>I17</f>
        <v/>
      </c>
    </row>
    <row r="50" hidden="1">
      <c r="A50" s="213" t="n"/>
      <c r="B50" s="213" t="n"/>
      <c r="C50" s="213" t="n"/>
      <c r="D50" s="213" t="n"/>
      <c r="E50" s="213" t="n"/>
      <c r="F50" s="213" t="n"/>
      <c r="G50" s="213" t="n"/>
      <c r="H50" s="213" t="n"/>
      <c r="I50" s="213" t="n"/>
      <c r="J50" s="213" t="n"/>
      <c r="K50" s="213" t="n"/>
      <c r="L50" s="213" t="n"/>
      <c r="M50" s="213" t="n"/>
      <c r="N50" s="213" t="n"/>
      <c r="O50" s="213" t="n"/>
      <c r="P50" s="213" t="n"/>
      <c r="Q50" s="213" t="n"/>
      <c r="R50" s="213" t="n"/>
      <c r="S50" s="213" t="n"/>
      <c r="T50" s="213" t="n"/>
      <c r="U50" s="213" t="n"/>
      <c r="V50" s="213" t="n"/>
      <c r="W50" s="213" t="n"/>
      <c r="X50" s="213" t="n"/>
      <c r="Y50" s="235">
        <f>A18</f>
        <v/>
      </c>
      <c r="Z50" s="236">
        <f>I18</f>
        <v/>
      </c>
    </row>
    <row r="51" hidden="1">
      <c r="A51" s="213" t="n"/>
      <c r="B51" s="213" t="n"/>
      <c r="C51" s="213" t="n"/>
      <c r="D51" s="213" t="n"/>
      <c r="E51" s="213" t="n"/>
      <c r="F51" s="213" t="n"/>
      <c r="G51" s="213" t="n"/>
      <c r="H51" s="213" t="n"/>
      <c r="I51" s="213" t="n"/>
      <c r="J51" s="213" t="n"/>
      <c r="K51" s="213" t="n"/>
      <c r="L51" s="213" t="n"/>
      <c r="M51" s="213" t="n"/>
      <c r="N51" s="213" t="n"/>
      <c r="O51" s="213" t="n"/>
      <c r="P51" s="213" t="n"/>
      <c r="Q51" s="213" t="n"/>
      <c r="R51" s="213" t="n"/>
      <c r="S51" s="213" t="n"/>
      <c r="T51" s="213" t="n"/>
      <c r="U51" s="213" t="n"/>
      <c r="V51" s="213" t="n"/>
      <c r="W51" s="213" t="n"/>
      <c r="X51" s="213" t="n"/>
      <c r="Y51" s="235">
        <f>A19</f>
        <v/>
      </c>
      <c r="Z51" s="236">
        <f>I19</f>
        <v/>
      </c>
    </row>
    <row r="52" hidden="1">
      <c r="A52" s="213" t="n"/>
      <c r="B52" s="213" t="n"/>
      <c r="C52" s="213" t="n"/>
      <c r="D52" s="213" t="n"/>
      <c r="E52" s="213" t="n"/>
      <c r="F52" s="213" t="n"/>
      <c r="G52" s="213" t="n"/>
      <c r="H52" s="213" t="n"/>
      <c r="I52" s="213" t="n"/>
      <c r="J52" s="213" t="n"/>
      <c r="K52" s="213" t="n"/>
      <c r="L52" s="213" t="n"/>
      <c r="M52" s="213" t="n"/>
      <c r="N52" s="213" t="n"/>
      <c r="O52" s="213" t="n"/>
      <c r="P52" s="213" t="n"/>
      <c r="Q52" s="213" t="n"/>
      <c r="R52" s="213" t="n"/>
      <c r="S52" s="213" t="n"/>
      <c r="T52" s="213" t="n"/>
      <c r="U52" s="213" t="n"/>
      <c r="V52" s="213" t="n"/>
      <c r="W52" s="213" t="n"/>
      <c r="X52" s="213" t="n"/>
      <c r="Y52" s="235">
        <f>A20</f>
        <v/>
      </c>
      <c r="Z52" s="236">
        <f>I20</f>
        <v/>
      </c>
    </row>
    <row r="53" hidden="1">
      <c r="A53" s="213" t="n"/>
      <c r="B53" s="213" t="n"/>
      <c r="C53" s="213" t="n"/>
      <c r="D53" s="213" t="n"/>
      <c r="E53" s="213" t="n"/>
      <c r="F53" s="213" t="n"/>
      <c r="G53" s="213" t="n"/>
      <c r="H53" s="213" t="n"/>
      <c r="I53" s="213" t="n"/>
      <c r="J53" s="213" t="n"/>
      <c r="K53" s="213" t="n"/>
      <c r="L53" s="213" t="n"/>
      <c r="M53" s="213" t="n"/>
      <c r="N53" s="213" t="n"/>
      <c r="O53" s="213" t="n"/>
      <c r="P53" s="213" t="n"/>
      <c r="Q53" s="213" t="n"/>
      <c r="R53" s="213" t="n"/>
      <c r="S53" s="213" t="n"/>
      <c r="T53" s="213" t="n"/>
      <c r="U53" s="213" t="n"/>
      <c r="V53" s="213" t="n"/>
      <c r="W53" s="213" t="n"/>
      <c r="X53" s="213" t="n"/>
      <c r="Y53" s="235">
        <f>A21</f>
        <v/>
      </c>
      <c r="Z53" s="236">
        <f>I21</f>
        <v/>
      </c>
    </row>
    <row r="54" hidden="1">
      <c r="A54" s="213" t="n"/>
      <c r="B54" s="213" t="n"/>
      <c r="C54" s="213" t="n"/>
      <c r="D54" s="213" t="n"/>
      <c r="E54" s="213" t="n"/>
      <c r="F54" s="213" t="n"/>
      <c r="G54" s="213" t="n"/>
      <c r="H54" s="213" t="n"/>
      <c r="I54" s="213" t="n"/>
      <c r="J54" s="213" t="n"/>
      <c r="K54" s="213" t="n"/>
      <c r="L54" s="213" t="n"/>
      <c r="M54" s="213" t="n"/>
      <c r="N54" s="213" t="n"/>
      <c r="O54" s="213" t="n"/>
      <c r="P54" s="213" t="n"/>
      <c r="Q54" s="213" t="n"/>
      <c r="R54" s="213" t="n"/>
      <c r="S54" s="213" t="n"/>
      <c r="T54" s="213" t="n"/>
      <c r="U54" s="213" t="n"/>
      <c r="V54" s="213" t="n"/>
      <c r="W54" s="213" t="n"/>
      <c r="X54" s="213" t="n"/>
      <c r="Y54" s="235">
        <f>A22</f>
        <v/>
      </c>
      <c r="Z54" s="236">
        <f>I22</f>
        <v/>
      </c>
    </row>
    <row r="55" hidden="1">
      <c r="A55" s="213" t="n"/>
      <c r="B55" s="213" t="n"/>
      <c r="C55" s="213" t="n"/>
      <c r="D55" s="213" t="n"/>
      <c r="E55" s="213" t="n"/>
      <c r="F55" s="213" t="n"/>
      <c r="G55" s="213" t="n"/>
      <c r="H55" s="213" t="n"/>
      <c r="I55" s="213" t="n"/>
      <c r="J55" s="213" t="n"/>
      <c r="K55" s="213" t="n"/>
      <c r="L55" s="213" t="n"/>
      <c r="M55" s="213" t="n"/>
      <c r="N55" s="213" t="n"/>
      <c r="O55" s="213" t="n"/>
      <c r="P55" s="213" t="n"/>
      <c r="Q55" s="213" t="n"/>
      <c r="R55" s="213" t="n"/>
      <c r="S55" s="213" t="n"/>
      <c r="T55" s="213" t="n"/>
      <c r="U55" s="213" t="n"/>
      <c r="V55" s="213" t="n"/>
      <c r="W55" s="213" t="n"/>
      <c r="X55" s="213" t="n"/>
      <c r="Y55" s="235">
        <f>A23</f>
        <v/>
      </c>
      <c r="Z55" s="236">
        <f>I23</f>
        <v/>
      </c>
    </row>
    <row r="56" hidden="1">
      <c r="A56" s="213" t="n"/>
      <c r="B56" s="213" t="n"/>
      <c r="C56" s="213" t="n"/>
      <c r="D56" s="213" t="n"/>
      <c r="E56" s="213" t="n"/>
      <c r="F56" s="213" t="n"/>
      <c r="G56" s="213" t="n"/>
      <c r="H56" s="213" t="n"/>
      <c r="I56" s="213" t="n"/>
      <c r="J56" s="213" t="n"/>
      <c r="K56" s="213" t="n"/>
      <c r="L56" s="213" t="n"/>
      <c r="M56" s="213" t="n"/>
      <c r="N56" s="213" t="n"/>
      <c r="O56" s="213" t="n"/>
      <c r="P56" s="213" t="n"/>
      <c r="Q56" s="213" t="n"/>
      <c r="R56" s="213" t="n"/>
      <c r="S56" s="213" t="n"/>
      <c r="T56" s="213" t="n"/>
      <c r="U56" s="213" t="n"/>
      <c r="V56" s="213" t="n"/>
      <c r="W56" s="213" t="n"/>
      <c r="X56" s="213" t="n"/>
      <c r="Y56" s="235">
        <f>A24</f>
        <v/>
      </c>
      <c r="Z56" s="236">
        <f>I24</f>
        <v/>
      </c>
    </row>
    <row r="57" hidden="1">
      <c r="A57" s="213" t="n"/>
      <c r="B57" s="213" t="n"/>
      <c r="C57" s="213" t="n"/>
      <c r="D57" s="213" t="n"/>
      <c r="E57" s="213" t="n"/>
      <c r="F57" s="213" t="n"/>
      <c r="G57" s="213" t="n"/>
      <c r="H57" s="213" t="n"/>
      <c r="I57" s="213" t="n"/>
      <c r="J57" s="213" t="n"/>
      <c r="K57" s="213" t="n"/>
      <c r="L57" s="213" t="n"/>
      <c r="M57" s="213" t="n"/>
      <c r="N57" s="213" t="n"/>
      <c r="O57" s="213" t="n"/>
      <c r="P57" s="213" t="n"/>
      <c r="Q57" s="213" t="n"/>
      <c r="R57" s="213" t="n"/>
      <c r="S57" s="213" t="n"/>
      <c r="T57" s="213" t="n"/>
      <c r="U57" s="213" t="n"/>
      <c r="V57" s="213" t="n"/>
      <c r="W57" s="213" t="n"/>
      <c r="X57" s="213" t="n"/>
      <c r="Y57" s="235">
        <f>A25</f>
        <v/>
      </c>
      <c r="Z57" s="236">
        <f>I25</f>
        <v/>
      </c>
    </row>
    <row r="58" hidden="1">
      <c r="A58" s="213" t="n"/>
      <c r="B58" s="213" t="n"/>
      <c r="C58" s="213" t="n"/>
      <c r="D58" s="213" t="n"/>
      <c r="E58" s="213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35">
        <f>A26</f>
        <v/>
      </c>
      <c r="Z58" s="236">
        <f>I26</f>
        <v/>
      </c>
    </row>
    <row r="59" hidden="1">
      <c r="A59" s="213" t="n"/>
      <c r="B59" s="213" t="n"/>
      <c r="C59" s="213" t="n"/>
      <c r="D59" s="213" t="n"/>
      <c r="E59" s="213" t="n"/>
      <c r="F59" s="213" t="n"/>
      <c r="G59" s="213" t="n"/>
      <c r="H59" s="213" t="n"/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35">
        <f>A27</f>
        <v/>
      </c>
      <c r="Z59" s="236">
        <f>I27</f>
        <v/>
      </c>
    </row>
    <row r="60" hidden="1">
      <c r="A60" s="213" t="n"/>
      <c r="B60" s="213" t="n"/>
      <c r="C60" s="213" t="n"/>
      <c r="D60" s="213" t="n"/>
      <c r="E60" s="213" t="n"/>
      <c r="F60" s="213" t="n"/>
      <c r="G60" s="213" t="n"/>
      <c r="H60" s="213" t="n"/>
      <c r="I60" s="213" t="n"/>
      <c r="J60" s="213" t="n"/>
      <c r="K60" s="213" t="n"/>
      <c r="L60" s="213" t="n"/>
      <c r="M60" s="213" t="n"/>
      <c r="N60" s="213" t="n"/>
      <c r="O60" s="213" t="n"/>
      <c r="P60" s="213" t="n"/>
      <c r="Q60" s="213" t="n"/>
      <c r="R60" s="213" t="n"/>
      <c r="S60" s="213" t="n"/>
      <c r="T60" s="213" t="n"/>
      <c r="U60" s="213" t="n"/>
      <c r="V60" s="213" t="n"/>
      <c r="W60" s="213" t="n"/>
      <c r="X60" s="213" t="n"/>
      <c r="Y60" s="235">
        <f>A28</f>
        <v/>
      </c>
      <c r="Z60" s="236">
        <f>I28</f>
        <v/>
      </c>
    </row>
    <row r="61" hidden="1">
      <c r="A61" s="213" t="n"/>
      <c r="B61" s="213" t="n"/>
      <c r="C61" s="213" t="n"/>
      <c r="D61" s="213" t="n"/>
      <c r="E61" s="213" t="n"/>
      <c r="F61" s="213" t="n"/>
      <c r="G61" s="213" t="n"/>
      <c r="H61" s="213" t="n"/>
      <c r="I61" s="213" t="n"/>
      <c r="J61" s="213" t="n"/>
      <c r="K61" s="213" t="n"/>
      <c r="L61" s="213" t="n"/>
      <c r="M61" s="213" t="n"/>
      <c r="N61" s="213" t="n"/>
      <c r="O61" s="213" t="n"/>
      <c r="P61" s="213" t="n"/>
      <c r="Q61" s="213" t="n"/>
      <c r="R61" s="213" t="n"/>
      <c r="S61" s="213" t="n"/>
      <c r="T61" s="213" t="n"/>
      <c r="U61" s="213" t="n"/>
      <c r="V61" s="213" t="n"/>
      <c r="W61" s="213" t="n"/>
      <c r="X61" s="213" t="n"/>
      <c r="Y61" s="235">
        <f>A29</f>
        <v/>
      </c>
      <c r="Z61" s="236">
        <f>I29</f>
        <v/>
      </c>
    </row>
    <row r="62" hidden="1">
      <c r="A62" s="213" t="n"/>
      <c r="B62" s="213" t="n"/>
      <c r="C62" s="213" t="n"/>
      <c r="D62" s="213" t="n"/>
      <c r="E62" s="213" t="n"/>
      <c r="F62" s="213" t="n"/>
      <c r="G62" s="213" t="n"/>
      <c r="H62" s="213" t="n"/>
      <c r="I62" s="213" t="n"/>
      <c r="J62" s="213" t="n"/>
      <c r="K62" s="213" t="n"/>
      <c r="L62" s="213" t="n"/>
      <c r="M62" s="213" t="n"/>
      <c r="N62" s="213" t="n"/>
      <c r="O62" s="213" t="n"/>
      <c r="P62" s="213" t="n"/>
      <c r="Q62" s="213" t="n"/>
      <c r="R62" s="213" t="n"/>
      <c r="S62" s="213" t="n"/>
      <c r="T62" s="213" t="n"/>
      <c r="U62" s="213" t="n"/>
      <c r="V62" s="213" t="n"/>
      <c r="W62" s="213" t="n"/>
      <c r="X62" s="213" t="n"/>
      <c r="Y62" s="235">
        <f>A30</f>
        <v/>
      </c>
      <c r="Z62" s="236">
        <f>I30</f>
        <v/>
      </c>
    </row>
    <row r="63" hidden="1">
      <c r="A63" s="213" t="n"/>
      <c r="B63" s="213" t="n"/>
      <c r="C63" s="213" t="n"/>
      <c r="D63" s="213" t="n"/>
      <c r="E63" s="213" t="n"/>
      <c r="F63" s="213" t="n"/>
      <c r="G63" s="213" t="n"/>
      <c r="H63" s="213" t="n"/>
      <c r="I63" s="213" t="n"/>
      <c r="J63" s="213" t="n"/>
      <c r="K63" s="213" t="n"/>
      <c r="L63" s="213" t="n"/>
      <c r="M63" s="213" t="n"/>
      <c r="N63" s="213" t="n"/>
      <c r="O63" s="213" t="n"/>
      <c r="P63" s="213" t="n"/>
      <c r="Q63" s="213" t="n"/>
      <c r="R63" s="213" t="n"/>
      <c r="S63" s="213" t="n"/>
      <c r="T63" s="213" t="n"/>
      <c r="U63" s="213" t="n"/>
      <c r="V63" s="213" t="n"/>
      <c r="W63" s="213" t="n"/>
      <c r="X63" s="213" t="n"/>
      <c r="Y63" s="235">
        <f>A31</f>
        <v/>
      </c>
      <c r="Z63" s="236">
        <f>I31</f>
        <v/>
      </c>
    </row>
    <row r="64" hidden="1">
      <c r="A64" s="213" t="n"/>
      <c r="B64" s="213" t="n"/>
      <c r="C64" s="213" t="n"/>
      <c r="D64" s="213" t="n"/>
      <c r="E64" s="213" t="n"/>
      <c r="F64" s="213" t="n"/>
      <c r="G64" s="213" t="n"/>
      <c r="H64" s="213" t="n"/>
      <c r="I64" s="213" t="n"/>
      <c r="J64" s="213" t="n"/>
      <c r="K64" s="213" t="n"/>
      <c r="L64" s="213" t="n"/>
      <c r="M64" s="213" t="n"/>
      <c r="N64" s="213" t="n"/>
      <c r="O64" s="213" t="n"/>
      <c r="P64" s="213" t="n"/>
      <c r="Q64" s="213" t="n"/>
      <c r="R64" s="213" t="n"/>
      <c r="S64" s="213" t="n"/>
      <c r="T64" s="213" t="n"/>
      <c r="U64" s="213" t="n"/>
      <c r="V64" s="213" t="n"/>
      <c r="W64" s="213" t="n"/>
      <c r="X64" s="213" t="n"/>
      <c r="Y64" s="235">
        <f>A32</f>
        <v/>
      </c>
      <c r="Z64" s="236">
        <f>I32</f>
        <v/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zoomScale="90" workbookViewId="0">
      <selection activeCell="C32" sqref="C32"/>
    </sheetView>
  </sheetViews>
  <sheetFormatPr baseColWidth="8" defaultRowHeight="15"/>
  <cols>
    <col width="21" customWidth="1" min="1" max="1"/>
    <col width="24.7109375" customWidth="1" min="2" max="2"/>
    <col width="81.5703125" customWidth="1" min="3" max="3"/>
    <col width="85.7109375" customWidth="1" min="4" max="4"/>
    <col width="15" customWidth="1" min="5" max="5"/>
  </cols>
  <sheetData>
    <row r="1" ht="18.75" customHeight="1">
      <c r="A1" s="496">
        <f>IF(COUNTA('Seguimiento Diario'!E6:E36)&lt;28, "⚠️ ANÁLISIS PARCIAL: Basado en "&amp;COUNTA('Seguimiento Diario'!E6:E36)&amp;" de 28 días. Los datos pueden cambiar.", "✅ ANÁLISIS COMPLETO: Mes cerrado con 28 días.")</f>
        <v/>
      </c>
    </row>
    <row r="2">
      <c r="A2" s="237" t="inlineStr">
        <is>
          <t>20 PUNTOS DE MEJORA - ANÁLISIS FEBRERO 2026</t>
        </is>
      </c>
      <c r="B2" s="212" t="n"/>
      <c r="C2" s="212" t="n"/>
      <c r="D2" s="212" t="n"/>
    </row>
    <row r="3">
      <c r="A3" s="238">
        <f>"Propiedad INH3RI | 85 Habitaciones | Ocupación: "&amp;TEXT(Hoja1!H37,"0.00%")&amp;" ("&amp;COUNTA('Seguimiento Diario'!E6:E36)&amp;" días)"</f>
        <v/>
      </c>
      <c r="B3" s="213" t="n"/>
      <c r="C3" s="213" t="n"/>
      <c r="D3" s="213" t="n"/>
    </row>
    <row r="4">
      <c r="A4" s="213" t="n"/>
      <c r="B4" s="213" t="n"/>
      <c r="C4" s="213" t="n"/>
      <c r="D4" s="213" t="n"/>
    </row>
    <row r="5">
      <c r="A5" s="239" t="inlineStr">
        <is>
          <t>#</t>
        </is>
      </c>
      <c r="B5" s="240" t="inlineStr">
        <is>
          <t>ÁREA</t>
        </is>
      </c>
      <c r="C5" s="240" t="inlineStr">
        <is>
          <t>HALLAZGO / PROBLEMA</t>
        </is>
      </c>
      <c r="D5" s="240" t="inlineStr">
        <is>
          <t>RECOMENDACIÓN DE MEJORA</t>
        </is>
      </c>
      <c r="E5" s="497" t="inlineStr">
        <is>
          <t>VALIDEZ</t>
        </is>
      </c>
    </row>
    <row r="6">
      <c r="A6" s="241" t="n">
        <v>1</v>
      </c>
      <c r="B6" s="242" t="inlineStr">
        <is>
          <t>PRONÓSTICO</t>
        </is>
      </c>
      <c r="C6" s="213">
        <f>"Error promedio del "&amp;TEXT(1-'Dashboard KPIs'!C8,"0%")&amp;" en pronósticos. "&amp;IF(Hoja1!T37&lt;0,"Variación de "&amp;ABS(Hoja1!T37)&amp;" habs vs pronóstico.","Meta superada.")</f>
        <v/>
      </c>
      <c r="D6" s="213" t="inlineStr">
        <is>
          <t>Revisar metodología de pronóstico. Ajustar modelo usando datos históricos reales y estacionalidad.</t>
        </is>
      </c>
      <c r="E6" s="498" t="inlineStr">
        <is>
          <t>✓</t>
        </is>
      </c>
    </row>
    <row r="7">
      <c r="A7" s="241" t="n">
        <v>2</v>
      </c>
      <c r="B7" s="242" t="inlineStr">
        <is>
          <t>OCUPACIÓN DOMINGOS</t>
        </is>
      </c>
      <c r="C7" s="213" t="inlineStr">
        <is>
          <t>Domingos con solo 81.5% de ocupación promedio (el más bajo de la semana).</t>
        </is>
      </c>
      <c r="D7" s="213" t="inlineStr">
        <is>
          <t>Crear paquetes especiales "Domingo Relax" o tarifas promocionales para extender estancias.</t>
        </is>
      </c>
      <c r="E7" s="499">
        <f>IF(COUNTA('Seguimiento Diario'!E6:E36)&gt;=7,"✓","⚠")</f>
        <v/>
      </c>
    </row>
    <row r="8">
      <c r="A8" s="241" t="n">
        <v>3</v>
      </c>
      <c r="B8" s="242" t="inlineStr">
        <is>
          <t>INGRESOS PERDIDOS</t>
        </is>
      </c>
      <c r="C8" s="213">
        <f>Hoja1!F37&amp;" noches-habitación vacantes = $"&amp;TEXT(Hoja1!F37*Hoja1!J37,"#,##0")&amp;" en ingresos potenciales perdidos."</f>
        <v/>
      </c>
      <c r="D8" s="213" t="inlineStr">
        <is>
          <t>Implementar revenue management dinámico. Bajar tarifas en días de baja demanda anticipada.</t>
        </is>
      </c>
      <c r="E8" s="498" t="inlineStr">
        <is>
          <t>✓</t>
        </is>
      </c>
    </row>
    <row r="9">
      <c r="A9" s="241" t="n">
        <v>4</v>
      </c>
      <c r="B9" s="242" t="inlineStr">
        <is>
          <t>DÍAS CRÍTICOS</t>
        </is>
      </c>
      <c r="C9" s="213" t="inlineStr">
        <is>
          <t>2-4 Feb y 8 Feb con ocupación &lt;80% (hasta 19 habitaciones vacías).</t>
        </is>
      </c>
      <c r="D9" s="213" t="inlineStr">
        <is>
          <t>Analizar causas de baja demanda. Coordinar con eventos locales o crear promociones específicas.</t>
        </is>
      </c>
      <c r="E9" s="499">
        <f>IF(COUNTA('Seguimiento Diario'!E6:E36)&gt;=7,"✓","⚠")</f>
        <v/>
      </c>
    </row>
    <row r="10">
      <c r="A10" s="241" t="n">
        <v>5</v>
      </c>
      <c r="B10" s="243" t="inlineStr">
        <is>
          <t>TARIFA MÍNIMA</t>
        </is>
      </c>
      <c r="C10" s="213" t="inlineStr">
        <is>
          <t>Tarifa mínima de $750 se repite en 12 días (43% del mes). Posible piso muy bajo.</t>
        </is>
      </c>
      <c r="D10" s="213" t="inlineStr">
        <is>
          <t>Evaluar si $750 es rentable. Considerar elevar piso tarifario a $770-780 o agregar valor.</t>
        </is>
      </c>
      <c r="E10" s="499">
        <f>IF(COUNTA('Seguimiento Diario'!E6:E36)&gt;=14,"✓","⚠")</f>
        <v/>
      </c>
    </row>
    <row r="11">
      <c r="A11" s="241" t="n">
        <v>6</v>
      </c>
      <c r="B11" s="243" t="inlineStr">
        <is>
          <t>GRUPOS</t>
        </is>
      </c>
      <c r="C11" s="213" t="inlineStr">
        <is>
          <t>OCC GRUPO = 0 todo el mes. No hay segmento grupal.</t>
        </is>
      </c>
      <c r="D11" s="213" t="inlineStr">
        <is>
          <t>Desarrollar estrategia para captar grupos corporativos, bodas, convenciones.</t>
        </is>
      </c>
      <c r="E11" s="498" t="inlineStr">
        <is>
          <t>✓</t>
        </is>
      </c>
    </row>
    <row r="12">
      <c r="A12" s="241" t="n">
        <v>7</v>
      </c>
      <c r="B12" s="243" t="inlineStr">
        <is>
          <t>RATIO HUÉSPEDES</t>
        </is>
      </c>
      <c r="C12" s="213">
        <f>IFERROR(TEXT(Hoja1!P37/Hoja1!B37,"0.00")&amp;" adultos por habitación. "&amp;IF(Hoja1!P37/Hoja1!B37&lt;1,"Bajo aprovechamiento de capacidad.","Buen ratio de ocupación."), "-")</f>
        <v/>
      </c>
      <c r="D12" s="213" t="inlineStr">
        <is>
          <t>Promocionar tarifas para 2 personas, paquetes románticos, ofertas "trae acompañante".</t>
        </is>
      </c>
      <c r="E12" s="499">
        <f>IF(COUNTA('Seguimiento Diario'!E6:E36)&gt;=7,"✓","⚠")</f>
        <v/>
      </c>
    </row>
    <row r="13">
      <c r="A13" s="241" t="n">
        <v>8</v>
      </c>
      <c r="B13" s="243" t="inlineStr">
        <is>
          <t>SEGMENTO FAMILIAS</t>
        </is>
      </c>
      <c r="C13" s="213">
        <f>"Solo "&amp;Hoja1!R37&amp;" niños en todo el mes. "&amp;IF(Hoja1!R37&lt;10,"Mercado familiar prácticamente nulo.","Segmento familiar presente.")</f>
        <v/>
      </c>
      <c r="D13" s="213" t="inlineStr">
        <is>
          <t>Si se desea este segmento: crear paquetes familiares, amenidades para niños.</t>
        </is>
      </c>
      <c r="E13" s="499">
        <f>IF(COUNTA('Seguimiento Diario'!E6:E36)&gt;=7,"✓","⚠")</f>
        <v/>
      </c>
    </row>
    <row r="14">
      <c r="A14" s="241" t="n">
        <v>9</v>
      </c>
      <c r="B14" s="243" t="inlineStr">
        <is>
          <t>LLEGADAS/SALIDAS</t>
        </is>
      </c>
      <c r="C14" s="213" t="inlineStr">
        <is>
          <t>16 Feb tuvo 69 llegadas Y 68 salidas el mismo día. Operación muy intensa.</t>
        </is>
      </c>
      <c r="D14" s="213" t="inlineStr">
        <is>
          <t>Planificar housekeeping adicional en días de alto turnover. Evitar overbooking.</t>
        </is>
      </c>
      <c r="E14" s="498" t="inlineStr">
        <is>
          <t>✓</t>
        </is>
      </c>
    </row>
    <row r="15">
      <c r="A15" s="241" t="n">
        <v>10</v>
      </c>
      <c r="B15" s="244" t="inlineStr">
        <is>
          <t>ESTANCIA PROMEDIO</t>
        </is>
      </c>
      <c r="C15" s="213">
        <f>IFERROR(Hoja1!D37&amp;" llegadas para "&amp;Hoja1!B37&amp;" noches ocupadas = ~"&amp;TEXT(Hoja1!B37/Hoja1!D37,"0.0")&amp;" noches promedio de estancia.", "-")</f>
        <v/>
      </c>
      <c r="D15" s="213" t="inlineStr">
        <is>
          <t>Estancia buena. Premiar estancias largas con descuentos progresivos o upgrades.</t>
        </is>
      </c>
      <c r="E15" s="499">
        <f>IF(COUNTA('Seguimiento Diario'!E6:E36)&gt;=7,"✓","⚠")</f>
        <v/>
      </c>
    </row>
    <row r="16">
      <c r="A16" s="241" t="n">
        <v>11</v>
      </c>
      <c r="B16" s="244" t="inlineStr">
        <is>
          <t>REVPAR</t>
        </is>
      </c>
      <c r="C16" s="213">
        <f>"RevPAR de $"&amp;TEXT(Hoja1!K37,"#,##0.00")&amp;IF(Hoja1!K37&gt;=700," supera la meta de $700."," está por debajo de la meta de $700.")</f>
        <v/>
      </c>
      <c r="D16" s="213" t="inlineStr">
        <is>
          <t>Meta: llevar RevPAR a $700+ optimizando ocupación sin sacrificar tarifa.</t>
        </is>
      </c>
      <c r="E16" s="499">
        <f>IF(COUNTA('Seguimiento Diario'!E6:E36)&gt;=7,"✓","⚠")</f>
        <v/>
      </c>
    </row>
    <row r="17">
      <c r="A17" s="241" t="n">
        <v>12</v>
      </c>
      <c r="B17" s="244" t="inlineStr">
        <is>
          <t>PICOS DE DEMANDA</t>
        </is>
      </c>
      <c r="C17" s="213" t="inlineStr">
        <is>
          <t>20 y 27 Feb con 98.82% ocupación (84 de 85 habs). Casi lleno.</t>
        </is>
      </c>
      <c r="D17" s="213" t="inlineStr">
        <is>
          <t>En días de alta demanda: subir tarifas 10-15%. Implementar yield management.</t>
        </is>
      </c>
      <c r="E17" s="499">
        <f>IF(COUNTA('Seguimiento Diario'!E6:E36)&gt;=14,"✓","⚠")</f>
        <v/>
      </c>
    </row>
    <row r="18">
      <c r="A18" s="241" t="n">
        <v>13</v>
      </c>
      <c r="B18" s="244" t="inlineStr">
        <is>
          <t>USO CASA</t>
        </is>
      </c>
      <c r="C18" s="213">
        <f>"USO CASA = "&amp;Hoja1!M37&amp;" todo el mes. "&amp;IF(Hoja1!M37=0,"Bien controlado.","Revisar política.")</f>
        <v/>
      </c>
      <c r="D18" s="213" t="inlineStr">
        <is>
          <t>Mantener política estricta de uso interno de habitaciones.</t>
        </is>
      </c>
      <c r="E18" s="498" t="inlineStr">
        <is>
          <t>✓</t>
        </is>
      </c>
    </row>
    <row r="19">
      <c r="A19" s="241" t="n">
        <v>14</v>
      </c>
      <c r="B19" s="244" t="inlineStr">
        <is>
          <t>INASISTENCIAS</t>
        </is>
      </c>
      <c r="C19" s="213">
        <f>"NO-SHOWS = "&amp;Hoja1!O37&amp;" todo el mes. "&amp;IF(Hoja1!O37=0,"Excelente política de garantía.","Revisar política de cancelación.")</f>
        <v/>
      </c>
      <c r="D19" s="213" t="inlineStr">
        <is>
          <t>Excelente. Política de garantía/cancelación funciona. Documentar y replicar.</t>
        </is>
      </c>
      <c r="E19" s="498" t="inlineStr">
        <is>
          <t>✓</t>
        </is>
      </c>
    </row>
    <row r="20">
      <c r="A20" s="241" t="n">
        <v>15</v>
      </c>
      <c r="B20" s="245" t="inlineStr">
        <is>
          <t>COMPS</t>
        </is>
      </c>
      <c r="C20" s="213">
        <f>Hoja1!L37&amp;" COMP(s) (cortesía) en el mes. "&amp;IF(Hoja1!L37&lt;=2,"Bajo nivel es positivo.","Revisar política de comps.")</f>
        <v/>
      </c>
      <c r="D20" s="213" t="inlineStr">
        <is>
          <t>Bajo nivel de comps es positivo. Usar comps para influencers o clientes VIP.</t>
        </is>
      </c>
      <c r="E20" s="498" t="inlineStr">
        <is>
          <t>✓</t>
        </is>
      </c>
    </row>
    <row r="21">
      <c r="A21" s="241" t="n">
        <v>16</v>
      </c>
      <c r="B21" s="245" t="inlineStr">
        <is>
          <t>VARIABILIDAD TARIFA</t>
        </is>
      </c>
      <c r="C21" s="213">
        <f>IFERROR("Rango tarifario: $"&amp;MIN(Hoja1!J5:J32)&amp;" - $"&amp;MAX(Hoja1!J5:J32)&amp;" ("&amp;TEXT((MAX(Hoja1!J5:J32)-MIN(Hoja1!J5:J32))/MIN(Hoja1!J5:J32),"0%")&amp;" de variación).", "-")</f>
        <v/>
      </c>
      <c r="D21" s="213" t="inlineStr">
        <is>
          <t>Implementar tarifas más dinámicas. Alta demanda +20%, baja demanda -10%.</t>
        </is>
      </c>
      <c r="E21" s="499">
        <f>IF(COUNTA('Seguimiento Diario'!E6:E36)&gt;=14,"✓","⚠")</f>
        <v/>
      </c>
    </row>
    <row r="22">
      <c r="A22" s="241" t="n">
        <v>17</v>
      </c>
      <c r="B22" s="245" t="inlineStr">
        <is>
          <t>CANALES</t>
        </is>
      </c>
      <c r="C22" s="213" t="inlineStr">
        <is>
          <t>No hay datos de canales de venta (OTAs, directo, corporativo).</t>
        </is>
      </c>
      <c r="D22" s="213" t="inlineStr">
        <is>
          <t>Agregar columna de canal de reserva para optimizar mix y reducir comisiones.</t>
        </is>
      </c>
      <c r="E22" s="500" t="inlineStr">
        <is>
          <t>-</t>
        </is>
      </c>
    </row>
    <row r="23">
      <c r="A23" s="241" t="n">
        <v>18</v>
      </c>
      <c r="B23" s="245" t="inlineStr">
        <is>
          <t>SEGMENTACIÓN</t>
        </is>
      </c>
      <c r="C23" s="213" t="inlineStr">
        <is>
          <t>No hay segmentación de mercado visible (business, leisure, etc.).</t>
        </is>
      </c>
      <c r="D23" s="213" t="inlineStr">
        <is>
          <t>Agregar campo de segmento para análisis más profundo.</t>
        </is>
      </c>
      <c r="E23" s="500" t="inlineStr">
        <is>
          <t>-</t>
        </is>
      </c>
    </row>
    <row r="24">
      <c r="A24" s="241" t="n">
        <v>19</v>
      </c>
      <c r="B24" s="245" t="inlineStr">
        <is>
          <t>TIPO HABITACIÓN</t>
        </is>
      </c>
      <c r="C24" s="213" t="inlineStr">
        <is>
          <t>No hay desglose por tipo de habitación (sencilla, doble, suite).</t>
        </is>
      </c>
      <c r="D24" s="213" t="inlineStr">
        <is>
          <t>Incluir análisis por tipo para optimizar inventario y pricing por categoría.</t>
        </is>
      </c>
      <c r="E24" s="500" t="inlineStr">
        <is>
          <t>-</t>
        </is>
      </c>
    </row>
    <row r="25">
      <c r="A25" s="241" t="n">
        <v>20</v>
      </c>
      <c r="B25" s="245" t="inlineStr">
        <is>
          <t>USO DÍA</t>
        </is>
      </c>
      <c r="C25" s="213">
        <f>"USO DÍA = "&amp;Hoja1!N37&amp;" todo el mes. "&amp;IF(Hoja1!N37=0,"No hay day-use. Oportunidad de mercado.","Day-use activo.")</f>
        <v/>
      </c>
      <c r="D25" s="213" t="inlineStr">
        <is>
          <t>Explorar mercado de day-use para crews, viajeros en tránsito, parejas locales.</t>
        </is>
      </c>
      <c r="E25" s="498" t="inlineStr">
        <is>
          <t>✓</t>
        </is>
      </c>
    </row>
    <row r="26" ht="15.75" customHeight="1">
      <c r="A26" s="213" t="n"/>
      <c r="B26" s="213" t="n"/>
      <c r="C26" s="213" t="n"/>
      <c r="D26" s="213" t="n"/>
    </row>
    <row r="27">
      <c r="A27" s="246" t="inlineStr">
        <is>
          <t>RESUMEN DE IMPACTO POTENCIAL</t>
        </is>
      </c>
      <c r="B27" s="247" t="n"/>
      <c r="C27" s="247" t="n"/>
      <c r="D27" s="247" t="n"/>
    </row>
    <row r="28">
      <c r="A28" s="501">
        <f>IF(COUNTA('Seguimiento Diario'!E6:E36)&lt;28, "(Proyecciones basadas en "&amp;COUNTA('Seguimiento Diario'!E6:E36)&amp;" días - resultados pueden variar)", "")</f>
        <v/>
      </c>
      <c r="B28" s="213" t="n"/>
      <c r="C28" s="213" t="n"/>
      <c r="D28" s="213" t="n"/>
    </row>
    <row r="29">
      <c r="A29" s="240" t="inlineStr">
        <is>
          <t>MÉTRICA</t>
        </is>
      </c>
      <c r="B29" s="248" t="inlineStr">
        <is>
          <t>ACTUAL</t>
        </is>
      </c>
      <c r="C29" s="248" t="inlineStr">
        <is>
          <t>META SUGERIDA</t>
        </is>
      </c>
      <c r="D29" s="248" t="inlineStr">
        <is>
          <t>IMPACTO ESTIMADO</t>
        </is>
      </c>
    </row>
    <row r="30">
      <c r="A30" s="213" t="inlineStr">
        <is>
          <t>Ocupación</t>
        </is>
      </c>
      <c r="B30" s="249">
        <f>Hoja1!H37</f>
        <v/>
      </c>
      <c r="C30" s="250" t="n">
        <v>0.9</v>
      </c>
      <c r="D30" s="251">
        <f>IF(B29&gt;=C29,"✅ Meta superada","+$"&amp;TEXT((C29-B29)*85*'Seguimiento Diario'!$S$6*B30,"#,##0")&amp;"/mes")</f>
        <v/>
      </c>
    </row>
    <row r="31">
      <c r="A31" s="213" t="inlineStr">
        <is>
          <t>Tarifa Promedio</t>
        </is>
      </c>
      <c r="B31" s="252">
        <f>Hoja1!J37</f>
        <v/>
      </c>
      <c r="C31" s="252" t="n">
        <v>800</v>
      </c>
      <c r="D31" s="251">
        <f>IF(B30&gt;=C30,"✅ Meta superada","+$"&amp;TEXT((C30-B30)*Hoja1!B37,"#,##0")&amp;"/mes")</f>
        <v/>
      </c>
    </row>
    <row r="32">
      <c r="A32" s="213" t="inlineStr">
        <is>
          <t>RevPAR</t>
        </is>
      </c>
      <c r="B32" s="252">
        <f>Hoja1!K37</f>
        <v/>
      </c>
      <c r="C32" s="252" t="n">
        <v>720</v>
      </c>
      <c r="D32" s="251">
        <f>IF(B31&gt;=C31,"✅ Meta superada","+$"&amp;TEXT((C31-B31)*85*'Seguimiento Diario'!$S$6,"#,##0")&amp;"/mes")</f>
        <v/>
      </c>
    </row>
    <row r="33">
      <c r="A33" s="213" t="inlineStr">
        <is>
          <t>Precisión Pronóstico</t>
        </is>
      </c>
      <c r="B33" s="250">
        <f>'Dashboard KPIs'!C8</f>
        <v/>
      </c>
      <c r="C33" s="250" t="n">
        <v>0.95</v>
      </c>
      <c r="D33" s="251" t="inlineStr">
        <is>
          <t>Mejor planificación</t>
        </is>
      </c>
    </row>
    <row r="34">
      <c r="A34" s="213" t="n"/>
      <c r="B34" s="213" t="n"/>
      <c r="C34" s="213" t="n"/>
      <c r="D34" s="213" t="n"/>
    </row>
    <row r="35">
      <c r="A35" s="253" t="inlineStr">
        <is>
          <t>LEYENDA DE PRIORIDAD:</t>
        </is>
      </c>
      <c r="B35" s="213" t="n"/>
      <c r="C35" s="213" t="n"/>
      <c r="D35" s="213" t="n"/>
    </row>
    <row r="36">
      <c r="A36" s="242" t="inlineStr">
        <is>
          <t>● CRÍTICO</t>
        </is>
      </c>
      <c r="B36" s="213" t="inlineStr">
        <is>
          <t>Acción inmediata requerida</t>
        </is>
      </c>
      <c r="C36" s="213" t="n"/>
      <c r="D36" s="213" t="n"/>
    </row>
    <row r="37">
      <c r="A37" s="243" t="inlineStr">
        <is>
          <t>● IMPORTANTE</t>
        </is>
      </c>
      <c r="B37" s="213" t="inlineStr">
        <is>
          <t>Implementar en 30 días</t>
        </is>
      </c>
      <c r="C37" s="213" t="n"/>
      <c r="D37" s="213" t="n"/>
    </row>
    <row r="38">
      <c r="A38" s="244" t="inlineStr">
        <is>
          <t>● OPTIMIZACIÓN</t>
        </is>
      </c>
      <c r="B38" s="213" t="inlineStr">
        <is>
          <t>Mejora continua</t>
        </is>
      </c>
      <c r="C38" s="213" t="n"/>
      <c r="D38" s="213" t="n"/>
    </row>
    <row r="39">
      <c r="A39" s="245" t="inlineStr">
        <is>
          <t>● DATOS</t>
        </is>
      </c>
      <c r="B39" s="213" t="inlineStr">
        <is>
          <t>Mejorar recopilación de información</t>
        </is>
      </c>
      <c r="C39" s="213" t="n"/>
      <c r="D39" s="213" t="n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70"/>
  <sheetViews>
    <sheetView zoomScale="90" workbookViewId="0">
      <pane ySplit="4" topLeftCell="A5" activePane="bottomLeft" state="frozen"/>
      <selection pane="bottomLeft" activeCell="B5" sqref="B5"/>
    </sheetView>
  </sheetViews>
  <sheetFormatPr baseColWidth="8" defaultRowHeight="15"/>
  <cols>
    <col width="36.5703125" customWidth="1" min="1" max="1"/>
    <col width="19.85546875" customWidth="1" min="2" max="2"/>
    <col width="16.140625" customWidth="1" min="3" max="4"/>
    <col width="11.42578125" customWidth="1" min="5" max="5"/>
    <col width="17.140625" customWidth="1" min="6" max="6"/>
    <col width="38.140625" customWidth="1" min="7" max="7"/>
  </cols>
  <sheetData>
    <row r="1" ht="23.25" customHeight="1">
      <c r="A1" s="254" t="inlineStr">
        <is>
          <t>DASHBOARD DE KPIs - FEBRERO 2026</t>
        </is>
      </c>
      <c r="B1" s="212" t="n"/>
      <c r="C1" s="212" t="n"/>
      <c r="D1" s="212" t="n"/>
      <c r="E1" s="212" t="n"/>
      <c r="F1" s="212" t="n"/>
      <c r="G1" s="212" t="n"/>
    </row>
    <row r="2">
      <c r="A2" s="214" t="inlineStr">
        <is>
          <t>Propiedad: INH3RI  |  85 Habitaciones  |  28 días analizados</t>
        </is>
      </c>
      <c r="B2" s="215" t="n"/>
      <c r="C2" s="215" t="n"/>
      <c r="D2" s="215" t="n"/>
      <c r="E2" s="215" t="n"/>
      <c r="F2" s="215" t="n"/>
      <c r="G2" s="215" t="n"/>
    </row>
    <row r="3">
      <c r="A3" s="213" t="n"/>
      <c r="B3" s="213" t="n"/>
      <c r="C3" s="213" t="n"/>
      <c r="D3" s="213" t="n"/>
      <c r="E3" s="213" t="n"/>
      <c r="F3" s="213" t="n"/>
      <c r="G3" s="213" t="n"/>
    </row>
    <row r="4">
      <c r="A4" s="255" t="inlineStr">
        <is>
          <t>KPI</t>
        </is>
      </c>
      <c r="B4" s="255" t="inlineStr">
        <is>
          <t>META</t>
        </is>
      </c>
      <c r="C4" s="255" t="inlineStr">
        <is>
          <t>ACTUAL</t>
        </is>
      </c>
      <c r="D4" s="255" t="inlineStr">
        <is>
          <t>VARIACIÓN</t>
        </is>
      </c>
      <c r="E4" s="255" t="inlineStr">
        <is>
          <t>STATUS</t>
        </is>
      </c>
      <c r="F4" s="255" t="inlineStr">
        <is>
          <t>TENDENCIA</t>
        </is>
      </c>
      <c r="G4" s="255" t="inlineStr">
        <is>
          <t>ACCIÓN SUGERIDA</t>
        </is>
      </c>
    </row>
    <row r="5" ht="21" customHeight="1">
      <c r="A5" s="444" t="inlineStr">
        <is>
          <t>Ocupación (%)</t>
        </is>
      </c>
      <c r="B5" s="445" t="inlineStr">
        <is>
          <t>≥85%</t>
        </is>
      </c>
      <c r="C5" s="446">
        <f>IFERROR(Hoja1!H37, "-")</f>
        <v/>
      </c>
      <c r="D5" s="447">
        <f>IFERROR(C5-0.85, "-")</f>
        <v/>
      </c>
      <c r="E5" s="448">
        <f>IF(C5&gt;=0.85,"🟢",IF(C5&gt;=0.8,"🟡","🔴"))</f>
        <v/>
      </c>
      <c r="F5" s="445" t="inlineStr">
        <is>
          <t>→ Estable</t>
        </is>
      </c>
      <c r="G5" s="449" t="inlineStr">
        <is>
          <t>Aumentar promociones fin de semana</t>
        </is>
      </c>
    </row>
    <row r="6" ht="21" customHeight="1">
      <c r="A6" s="444" t="inlineStr">
        <is>
          <t>RevPAR ($)</t>
        </is>
      </c>
      <c r="B6" s="445" t="inlineStr">
        <is>
          <t>≥$700</t>
        </is>
      </c>
      <c r="C6" s="450">
        <f>IFERROR(Hoja1!K37, "-")</f>
        <v/>
      </c>
      <c r="D6" s="451">
        <f>IFERROR(C6-700, "-")</f>
        <v/>
      </c>
      <c r="E6" s="448">
        <f>IF(C6&gt;=700,"🟢",IF(C6&gt;=600,"🟡","🔴"))</f>
        <v/>
      </c>
      <c r="F6" s="445" t="inlineStr">
        <is>
          <t>↗ Mejorando</t>
        </is>
      </c>
      <c r="G6" s="449" t="inlineStr">
        <is>
          <t>Subir tarifas en días de alta demanda</t>
        </is>
      </c>
    </row>
    <row r="7" ht="21" customHeight="1">
      <c r="A7" s="444" t="inlineStr">
        <is>
          <t>Tarifa Media ($)</t>
        </is>
      </c>
      <c r="B7" s="445" t="inlineStr">
        <is>
          <t>≥$780</t>
        </is>
      </c>
      <c r="C7" s="450">
        <f>IFERROR(Hoja1!J37, "-")</f>
        <v/>
      </c>
      <c r="D7" s="451">
        <f>IFERROR(C7-780, "-")</f>
        <v/>
      </c>
      <c r="E7" s="448">
        <f>IF(C7&gt;=780,"🟢",IF(C7&gt;=750,"🟡","🔴"))</f>
        <v/>
      </c>
      <c r="F7" s="445" t="inlineStr">
        <is>
          <t>→ Estable</t>
        </is>
      </c>
      <c r="G7" s="449" t="inlineStr">
        <is>
          <t>Implementar pricing dinámico</t>
        </is>
      </c>
    </row>
    <row r="8" ht="21" customHeight="1">
      <c r="A8" s="444" t="inlineStr">
        <is>
          <t>Precisión Pronóstico (%)</t>
        </is>
      </c>
      <c r="B8" s="445" t="inlineStr">
        <is>
          <t>≥90%</t>
        </is>
      </c>
      <c r="C8" s="446">
        <f>IFERROR(1-(ABS(Hoja1!T37)/Hoja1!C37), "-")</f>
        <v/>
      </c>
      <c r="D8" s="447">
        <f>IFERROR(C8-0.9, "-")</f>
        <v/>
      </c>
      <c r="E8" s="448">
        <f>IF(C8&gt;=0.9,"🟢",IF(C8&gt;=0.85,"🟡","🔴"))</f>
        <v/>
      </c>
      <c r="F8" s="445" t="inlineStr">
        <is>
          <t>↘ Bajando</t>
        </is>
      </c>
      <c r="G8" s="449" t="inlineStr">
        <is>
          <t>Revisar modelo de forecasting</t>
        </is>
      </c>
    </row>
    <row r="9" ht="21" customHeight="1">
      <c r="A9" s="444" t="inlineStr">
        <is>
          <t>Ingresos Totales ($)</t>
        </is>
      </c>
      <c r="B9" s="445" t="inlineStr">
        <is>
          <t>≥$1.6M</t>
        </is>
      </c>
      <c r="C9" s="452">
        <f>IFERROR(Hoja1!I37, "-")</f>
        <v/>
      </c>
      <c r="D9" s="451">
        <f>IFERROR(C9-1600000, "-")</f>
        <v/>
      </c>
      <c r="E9" s="448">
        <f>IF(C9&gt;=1600000,"🟢",IF(C9&gt;=1400000,"🟡","🔴"))</f>
        <v/>
      </c>
      <c r="F9" s="445" t="inlineStr">
        <is>
          <t>→ Estable</t>
        </is>
      </c>
      <c r="G9" s="449" t="inlineStr">
        <is>
          <t>Captar segmento grupos</t>
        </is>
      </c>
    </row>
    <row r="10" ht="21" customHeight="1">
      <c r="A10" s="444" t="inlineStr">
        <is>
          <t>No-Shows</t>
        </is>
      </c>
      <c r="B10" s="445" t="n">
        <v>0</v>
      </c>
      <c r="C10" s="445">
        <f>IFERROR(Hoja1!O37, "-")</f>
        <v/>
      </c>
      <c r="D10" s="445">
        <f>IFERROR(C10-0, "-")</f>
        <v/>
      </c>
      <c r="E10" s="448">
        <f>IF(C10=0,"🟢",IF(C10&lt;=5,"🟡","🔴"))</f>
        <v/>
      </c>
      <c r="F10" s="453" t="inlineStr">
        <is>
          <t>✓ Perfecto</t>
        </is>
      </c>
      <c r="G10" s="449" t="inlineStr">
        <is>
          <t>Mantener política actual</t>
        </is>
      </c>
    </row>
    <row r="11" ht="21" customHeight="1">
      <c r="A11" s="444" t="inlineStr">
        <is>
          <t>Ocupación Grupos</t>
        </is>
      </c>
      <c r="B11" s="445" t="inlineStr">
        <is>
          <t>≥10%</t>
        </is>
      </c>
      <c r="C11" s="454">
        <f>IFERROR(Hoja1!I37/Hoja1!B37, "-")</f>
        <v/>
      </c>
      <c r="D11" s="447">
        <f>IFERROR(0-0.1, "-")</f>
        <v/>
      </c>
      <c r="E11" s="448">
        <f>IF(0&gt;=0.1,"🟢",IF(0&gt;=0.05,"🟡","🔴"))</f>
        <v/>
      </c>
      <c r="F11" s="455" t="inlineStr">
        <is>
          <t>⚠ Sin datos</t>
        </is>
      </c>
      <c r="G11" s="449" t="inlineStr">
        <is>
          <t>Desarrollar estrategia de grupos</t>
        </is>
      </c>
    </row>
    <row r="12" ht="21" customHeight="1">
      <c r="A12" s="444" t="inlineStr">
        <is>
          <t>Habitaciones Vacantes</t>
        </is>
      </c>
      <c r="B12" s="445" t="inlineStr">
        <is>
          <t>≤300</t>
        </is>
      </c>
      <c r="C12" s="445">
        <f>IFERROR(Hoja1!F37, "-")</f>
        <v/>
      </c>
      <c r="D12" s="456">
        <f>IFERROR(C12-300, "-")</f>
        <v/>
      </c>
      <c r="E12" s="448">
        <f>IF(C12&lt;=300,"🟢",IF(C12&lt;=400,"🟡","🔴"))</f>
        <v/>
      </c>
      <c r="F12" s="445" t="inlineStr">
        <is>
          <t>↘ Subiendo</t>
        </is>
      </c>
      <c r="G12" s="449" t="inlineStr">
        <is>
          <t>Revenue management dinámico</t>
        </is>
      </c>
    </row>
    <row r="13">
      <c r="A13" s="213" t="n"/>
      <c r="B13" s="213" t="n"/>
      <c r="C13" s="213" t="n"/>
      <c r="D13" s="213" t="n"/>
      <c r="E13" s="213" t="n"/>
      <c r="F13" s="213" t="n"/>
      <c r="G13" s="213" t="n"/>
    </row>
    <row r="14" ht="15.75" customHeight="1">
      <c r="A14" s="273" t="inlineStr">
        <is>
          <t>RESUMEN EJECUTIVO</t>
        </is>
      </c>
      <c r="B14" s="212" t="n"/>
      <c r="C14" s="212" t="n"/>
      <c r="D14" s="212" t="n"/>
      <c r="E14" s="212" t="n"/>
      <c r="F14" s="212" t="n"/>
      <c r="G14" s="212" t="n"/>
    </row>
    <row r="15">
      <c r="A15" s="213" t="n"/>
      <c r="B15" s="213" t="n"/>
      <c r="C15" s="213" t="n"/>
      <c r="D15" s="213" t="n"/>
      <c r="E15" s="213" t="n"/>
      <c r="F15" s="213" t="n"/>
      <c r="G15" s="213" t="n"/>
    </row>
    <row r="16">
      <c r="A16" s="274" t="inlineStr">
        <is>
          <t>KPIs en Meta (Verde):</t>
        </is>
      </c>
      <c r="B16" s="389">
        <f>COUNTIF(E5:E12,"🟢")&amp;" de 8"</f>
        <v/>
      </c>
      <c r="C16" s="390">
        <f>IFERROR(COUNTIF(E5:E12,"🟢")/8, "-")</f>
        <v/>
      </c>
      <c r="D16" s="213" t="n"/>
      <c r="E16" s="253" t="inlineStr">
        <is>
          <t>LEYENDA:</t>
        </is>
      </c>
      <c r="F16" s="213" t="n"/>
      <c r="G16" s="213" t="n"/>
    </row>
    <row r="17" ht="15.75" customHeight="1">
      <c r="A17" s="276" t="inlineStr">
        <is>
          <t>KPIs Cerca (Amarillo):</t>
        </is>
      </c>
      <c r="B17" s="389">
        <f>COUNTIF(E5:E12,"🟡")&amp;" de 8"</f>
        <v/>
      </c>
      <c r="C17" s="391">
        <f>IFERROR(COUNTIF(E5:E12,"🟡")/8, "-")</f>
        <v/>
      </c>
      <c r="D17" s="213" t="n"/>
      <c r="E17" s="278" t="inlineStr">
        <is>
          <t>🟢 Verde</t>
        </is>
      </c>
      <c r="F17" s="213" t="inlineStr">
        <is>
          <t>Meta alcanzada</t>
        </is>
      </c>
      <c r="G17" s="213" t="n"/>
    </row>
    <row r="18" ht="15.75" customHeight="1">
      <c r="A18" s="242" t="inlineStr">
        <is>
          <t>KPIs Críticos (Rojo):</t>
        </is>
      </c>
      <c r="B18" s="389">
        <f>COUNTIF(E5:E12,"🔴")&amp;" de 8"</f>
        <v/>
      </c>
      <c r="C18" s="392">
        <f>IFERROR(COUNTIF(E5:E12,"🔴")/8, "-")</f>
        <v/>
      </c>
      <c r="D18" s="213" t="n"/>
      <c r="E18" s="278" t="inlineStr">
        <is>
          <t>🟡 Amarillo</t>
        </is>
      </c>
      <c r="F18" s="213" t="inlineStr">
        <is>
          <t>Cerca de meta (&lt;5% desviación)</t>
        </is>
      </c>
      <c r="G18" s="213" t="n"/>
    </row>
    <row r="19" ht="15.75" customHeight="1">
      <c r="A19" s="213" t="n"/>
      <c r="B19" s="213" t="n"/>
      <c r="C19" s="213" t="n"/>
      <c r="D19" s="213" t="n"/>
      <c r="E19" s="278" t="inlineStr">
        <is>
          <t>🔴 Rojo</t>
        </is>
      </c>
      <c r="F19" s="213" t="inlineStr">
        <is>
          <t>Requiere acción inmediata</t>
        </is>
      </c>
      <c r="G19" s="213" t="n"/>
    </row>
    <row r="20">
      <c r="A20" s="213" t="n"/>
      <c r="B20" s="213" t="n"/>
      <c r="C20" s="213" t="n"/>
      <c r="D20" s="213" t="n"/>
      <c r="E20" s="213" t="n"/>
      <c r="F20" s="213" t="n"/>
      <c r="G20" s="213" t="n"/>
    </row>
    <row r="21">
      <c r="A21" s="280" t="inlineStr">
        <is>
          <t>OPORTUNIDAD DE MEJORA:</t>
        </is>
      </c>
      <c r="B21" s="281" t="n">
        <v>274001</v>
      </c>
      <c r="C21" s="282" t="inlineStr">
        <is>
          <t>en ingresos perdidos por 360 habitaciones vacantes</t>
        </is>
      </c>
      <c r="D21" s="282" t="n"/>
      <c r="E21" s="282" t="n"/>
      <c r="F21" s="282" t="n"/>
      <c r="G21" s="282" t="n"/>
    </row>
    <row r="22">
      <c r="A22" s="213" t="n"/>
      <c r="B22" s="213" t="n"/>
      <c r="C22" s="213" t="n"/>
      <c r="D22" s="213" t="n"/>
      <c r="E22" s="213" t="n"/>
      <c r="F22" s="213" t="n"/>
      <c r="G22" s="213" t="n"/>
    </row>
    <row r="23" ht="15.75" customHeight="1">
      <c r="A23" s="273" t="inlineStr">
        <is>
          <t>ANÁLISIS POR DÍA DE SEMANA</t>
        </is>
      </c>
      <c r="B23" s="212" t="n"/>
      <c r="C23" s="212" t="n"/>
      <c r="D23" s="212" t="n"/>
      <c r="E23" s="212" t="n"/>
      <c r="F23" s="212" t="n"/>
      <c r="G23" s="212" t="n"/>
    </row>
    <row r="24">
      <c r="A24" s="213" t="n"/>
      <c r="B24" s="213" t="n"/>
      <c r="C24" s="213" t="n"/>
      <c r="D24" s="213" t="n"/>
      <c r="E24" s="213" t="n"/>
      <c r="F24" s="213" t="n"/>
      <c r="G24" s="213" t="n"/>
    </row>
    <row r="25">
      <c r="A25" s="217" t="inlineStr">
        <is>
          <t>DÍA</t>
        </is>
      </c>
      <c r="B25" s="217" t="inlineStr">
        <is>
          <t>OCC PROM</t>
        </is>
      </c>
      <c r="C25" s="217" t="inlineStr">
        <is>
          <t>TARIFA PROM</t>
        </is>
      </c>
      <c r="D25" s="217" t="inlineStr">
        <is>
          <t>INGRESOS PROM</t>
        </is>
      </c>
      <c r="E25" s="217" t="inlineStr">
        <is>
          <t>REVPAR PROM</t>
        </is>
      </c>
      <c r="F25" s="217" t="inlineStr">
        <is>
          <t>RANKING</t>
        </is>
      </c>
      <c r="G25" s="217" t="inlineStr">
        <is>
          <t>RECOMENDACIÓN</t>
        </is>
      </c>
    </row>
    <row r="26">
      <c r="A26" s="283" t="inlineStr">
        <is>
          <t>Lunes</t>
        </is>
      </c>
      <c r="B26" s="270" t="n">
        <v>0.832</v>
      </c>
      <c r="C26" s="222" t="n">
        <v>754.72</v>
      </c>
      <c r="D26" s="284" t="n">
        <v>53435</v>
      </c>
      <c r="E26" s="222" t="n">
        <v>628.65</v>
      </c>
      <c r="F26" s="219" t="inlineStr">
        <is>
          <t>#5</t>
        </is>
      </c>
      <c r="G26" s="259" t="inlineStr">
        <is>
          <t>Promociones inicio de semana</t>
        </is>
      </c>
    </row>
    <row r="27">
      <c r="A27" s="285" t="inlineStr">
        <is>
          <t>Martes</t>
        </is>
      </c>
      <c r="B27" s="286" t="n">
        <v>0.841</v>
      </c>
      <c r="C27" s="227" t="n">
        <v>756.4400000000001</v>
      </c>
      <c r="D27" s="287" t="n">
        <v>54120.34</v>
      </c>
      <c r="E27" s="227" t="n">
        <v>636.71</v>
      </c>
      <c r="F27" s="224" t="inlineStr">
        <is>
          <t>#3</t>
        </is>
      </c>
      <c r="G27" s="264" t="inlineStr">
        <is>
          <t>Mantener estrategia actual</t>
        </is>
      </c>
    </row>
    <row r="28">
      <c r="A28" s="283" t="inlineStr">
        <is>
          <t>Miércoles</t>
        </is>
      </c>
      <c r="B28" s="270" t="n">
        <v>0.838</v>
      </c>
      <c r="C28" s="222" t="n">
        <v>757</v>
      </c>
      <c r="D28" s="284" t="n">
        <v>53965.02</v>
      </c>
      <c r="E28" s="222" t="n">
        <v>634.88</v>
      </c>
      <c r="F28" s="219" t="inlineStr">
        <is>
          <t>#4</t>
        </is>
      </c>
      <c r="G28" s="259" t="inlineStr">
        <is>
          <t>Mantener estrategia actual</t>
        </is>
      </c>
    </row>
    <row r="29">
      <c r="A29" s="285" t="inlineStr">
        <is>
          <t>Jueves</t>
        </is>
      </c>
      <c r="B29" s="286" t="n">
        <v>0.882</v>
      </c>
      <c r="C29" s="227" t="n">
        <v>761.75</v>
      </c>
      <c r="D29" s="287" t="n">
        <v>57190.08</v>
      </c>
      <c r="E29" s="227" t="n">
        <v>672.8200000000001</v>
      </c>
      <c r="F29" s="224" t="inlineStr">
        <is>
          <t>#2</t>
        </is>
      </c>
      <c r="G29" s="264" t="inlineStr">
        <is>
          <t>Subir tarifa 5%</t>
        </is>
      </c>
    </row>
    <row r="30">
      <c r="A30" s="288" t="inlineStr">
        <is>
          <t>Viernes</t>
        </is>
      </c>
      <c r="B30" s="289" t="n">
        <v>0.9</v>
      </c>
      <c r="C30" s="290" t="n">
        <v>772.3200000000001</v>
      </c>
      <c r="D30" s="291" t="n">
        <v>59161.92</v>
      </c>
      <c r="E30" s="290" t="n">
        <v>696.02</v>
      </c>
      <c r="F30" s="288" t="inlineStr">
        <is>
          <t>🏆 #1</t>
        </is>
      </c>
      <c r="G30" s="292" t="inlineStr">
        <is>
          <t>⬆ Subir tarifa 10-15%</t>
        </is>
      </c>
    </row>
    <row r="31">
      <c r="A31" s="283" t="inlineStr">
        <is>
          <t>Sábado</t>
        </is>
      </c>
      <c r="B31" s="270" t="n">
        <v>0.832</v>
      </c>
      <c r="C31" s="222" t="n">
        <v>764.27</v>
      </c>
      <c r="D31" s="284" t="n">
        <v>54092.25</v>
      </c>
      <c r="E31" s="222" t="n">
        <v>636.38</v>
      </c>
      <c r="F31" s="219" t="inlineStr">
        <is>
          <t>#6</t>
        </is>
      </c>
      <c r="G31" s="259" t="inlineStr">
        <is>
          <t>Paquetes fin de semana</t>
        </is>
      </c>
    </row>
    <row r="32">
      <c r="A32" s="293" t="inlineStr">
        <is>
          <t>Domingo</t>
        </is>
      </c>
      <c r="B32" s="294" t="n">
        <v>0.8149999999999999</v>
      </c>
      <c r="C32" s="295" t="n">
        <v>761.3099999999999</v>
      </c>
      <c r="D32" s="296" t="n">
        <v>52749.46</v>
      </c>
      <c r="E32" s="295" t="n">
        <v>620.58</v>
      </c>
      <c r="F32" s="293" t="inlineStr">
        <is>
          <t>⚠ #7</t>
        </is>
      </c>
      <c r="G32" s="297" t="inlineStr">
        <is>
          <t>⬇ Promo "Domingo Relax"</t>
        </is>
      </c>
    </row>
    <row r="33">
      <c r="A33" s="213" t="n"/>
      <c r="B33" s="213" t="n"/>
      <c r="C33" s="213" t="n"/>
      <c r="D33" s="213" t="n"/>
      <c r="E33" s="213" t="n"/>
      <c r="F33" s="213" t="n"/>
      <c r="G33" s="213" t="n"/>
    </row>
    <row r="34">
      <c r="A34" s="298" t="inlineStr">
        <is>
          <t>INSIGHTS CLAVE:</t>
        </is>
      </c>
      <c r="B34" s="247" t="n"/>
      <c r="C34" s="247" t="n"/>
      <c r="D34" s="247" t="n"/>
      <c r="E34" s="247" t="n"/>
      <c r="F34" s="247" t="n"/>
      <c r="G34" s="247" t="n"/>
    </row>
    <row r="35">
      <c r="A35" s="253" t="inlineStr">
        <is>
          <t>🏆 Mejor día:</t>
        </is>
      </c>
      <c r="B35" s="274" t="inlineStr">
        <is>
          <t>VIERNES</t>
        </is>
      </c>
      <c r="C35" s="213" t="inlineStr">
        <is>
          <t>90% ocupación, $696 RevPAR</t>
        </is>
      </c>
      <c r="D35" s="213" t="n"/>
      <c r="E35" s="213" t="inlineStr">
        <is>
          <t>→ Oportunidad de subir tarifas</t>
        </is>
      </c>
      <c r="F35" s="213" t="n"/>
      <c r="G35" s="213" t="n"/>
    </row>
    <row r="36">
      <c r="A36" s="253" t="inlineStr">
        <is>
          <t>⚠ Peor día:</t>
        </is>
      </c>
      <c r="B36" s="242" t="inlineStr">
        <is>
          <t>DOMINGO</t>
        </is>
      </c>
      <c r="C36" s="213" t="inlineStr">
        <is>
          <t>81.5% ocupación, $621 RevPAR</t>
        </is>
      </c>
      <c r="D36" s="213" t="n"/>
      <c r="E36" s="213" t="inlineStr">
        <is>
          <t>→ Crear promociones específicas</t>
        </is>
      </c>
      <c r="F36" s="213" t="n"/>
      <c r="G36" s="213" t="n"/>
    </row>
    <row r="37">
      <c r="A37" s="253" t="inlineStr">
        <is>
          <t>💰 Diferencia RevPAR:</t>
        </is>
      </c>
      <c r="B37" s="299" t="n">
        <v>75.44</v>
      </c>
      <c r="C37" s="213" t="inlineStr">
        <is>
          <t>entre mejor y peor día</t>
        </is>
      </c>
      <c r="D37" s="213" t="n"/>
      <c r="E37" s="213">
        <f>IFERROR( Potencial de +$6,400/mes,"")</f>
        <v/>
      </c>
      <c r="F37" s="213" t="n"/>
      <c r="G37" s="213" t="n"/>
    </row>
    <row r="38">
      <c r="A38" s="213" t="n"/>
      <c r="B38" s="213" t="n"/>
      <c r="C38" s="213" t="n"/>
      <c r="D38" s="213" t="n"/>
      <c r="E38" s="213" t="n"/>
      <c r="F38" s="213" t="n"/>
      <c r="G38" s="213" t="n"/>
    </row>
    <row r="39" ht="15.75" customHeight="1">
      <c r="A39" s="273" t="inlineStr">
        <is>
          <t>SIMULADOR DE ESCENARIOS - ANÁLISIS DE GAP</t>
        </is>
      </c>
      <c r="B39" s="212" t="n"/>
      <c r="C39" s="212" t="n"/>
      <c r="D39" s="212" t="n"/>
      <c r="E39" s="212" t="n"/>
      <c r="F39" s="212" t="n"/>
      <c r="G39" s="212" t="n"/>
    </row>
    <row r="40">
      <c r="A40" s="213" t="n"/>
      <c r="B40" s="213" t="n"/>
      <c r="C40" s="213" t="n"/>
      <c r="D40" s="213" t="n"/>
      <c r="E40" s="213" t="n"/>
      <c r="F40" s="213" t="n"/>
      <c r="G40" s="213" t="n"/>
    </row>
    <row r="41">
      <c r="A41" s="240" t="inlineStr">
        <is>
          <t>DATOS DE ENTRADA</t>
        </is>
      </c>
      <c r="B41" s="215" t="n"/>
      <c r="C41" s="239" t="inlineStr">
        <is>
          <t>VALOR</t>
        </is>
      </c>
      <c r="D41" s="215" t="n"/>
      <c r="E41" s="240" t="inlineStr">
        <is>
          <t>RESULTADOS ACTUALES</t>
        </is>
      </c>
      <c r="F41" s="215" t="n"/>
      <c r="G41" s="215" t="n"/>
    </row>
    <row r="42">
      <c r="A42" s="484" t="inlineStr">
        <is>
          <t>ESTADO DE CAPTURA</t>
        </is>
      </c>
      <c r="B42" s="213" t="n"/>
      <c r="C42" s="300" t="n">
        <v>1753000</v>
      </c>
      <c r="D42" s="213" t="n"/>
      <c r="E42" s="213" t="inlineStr">
        <is>
          <t>Ingresos Actuales:</t>
        </is>
      </c>
      <c r="F42" s="393">
        <f>Hoja1!I37</f>
        <v/>
      </c>
      <c r="G42" s="213" t="n"/>
    </row>
    <row r="43">
      <c r="A43" s="213" t="inlineStr">
        <is>
          <t>Días capturados:</t>
        </is>
      </c>
      <c r="B43" s="213">
        <f>COUNTA('Seguimiento Diario'!E6:E36)</f>
        <v/>
      </c>
      <c r="C43" s="394" t="inlineStr">
        <is>
          <t>de 28</t>
        </is>
      </c>
      <c r="D43" s="213" t="n"/>
      <c r="E43" s="213" t="inlineStr">
        <is>
          <t>Tarifa Actual:</t>
        </is>
      </c>
      <c r="F43" s="393">
        <f>Hoja1!J37</f>
        <v/>
      </c>
      <c r="G43" s="213" t="n"/>
    </row>
    <row r="44">
      <c r="A44" s="213" t="inlineStr">
        <is>
          <t>Datos al:</t>
        </is>
      </c>
      <c r="B44" s="213">
        <f>IF(COUNTA('Seguimiento Diario'!E6:E36)&gt;0, COUNTA('Seguimiento Diario'!E6:E36)&amp;" de "&amp;DAY(TODAY())&amp;" días actuales", "Sin datos")</f>
        <v/>
      </c>
      <c r="C44" s="394">
        <f>Hoja1!B37</f>
        <v/>
      </c>
      <c r="D44" s="213" t="n"/>
      <c r="E44" s="213" t="inlineStr">
        <is>
          <t>Ocupación Actual:</t>
        </is>
      </c>
      <c r="F44" s="395">
        <f>Hoja1!H37</f>
        <v/>
      </c>
      <c r="G44" s="213" t="n"/>
    </row>
    <row r="45">
      <c r="A45" s="242" t="inlineStr">
        <is>
          <t>Proyección mensual:</t>
        </is>
      </c>
      <c r="B45" s="213">
        <f>IFERROR(IF(COUNTA('Seguimiento Diario'!E6:E36)&gt;0, "$"&amp;TEXT(ROUND(SUM('Seguimiento Diario'!H6:H36)/COUNTA('Seguimiento Diario'!E6:E36)*'Seguimiento Diario'!$S$6,0),"#,##0"), "-"),"")</f>
        <v/>
      </c>
      <c r="C45" s="396">
        <f>C43-C44</f>
        <v/>
      </c>
      <c r="D45" s="213" t="n"/>
      <c r="E45" s="213" t="inlineStr">
        <is>
          <t>RevPAR Actual:</t>
        </is>
      </c>
      <c r="F45" s="393">
        <f>Hoja1!K37</f>
        <v/>
      </c>
      <c r="G45" s="213" t="n"/>
    </row>
    <row r="46">
      <c r="A46" s="213" t="n"/>
      <c r="B46" s="213" t="n"/>
      <c r="C46" s="213" t="n"/>
      <c r="D46" s="213" t="n"/>
      <c r="E46" s="213" t="n"/>
      <c r="F46" s="213" t="n"/>
      <c r="G46" s="213" t="n"/>
    </row>
    <row r="47">
      <c r="A47" s="280" t="inlineStr">
        <is>
          <t>GAP DE INGRESOS</t>
        </is>
      </c>
      <c r="B47" s="213" t="n"/>
      <c r="C47" s="397">
        <f>C42-F42</f>
        <v/>
      </c>
      <c r="D47" s="213" t="n"/>
      <c r="E47" s="282" t="inlineStr">
        <is>
          <t>% para alcanzar meta:</t>
        </is>
      </c>
      <c r="F47" s="398">
        <f>IFERROR(C47/F42, "-")</f>
        <v/>
      </c>
      <c r="G47" s="213" t="n"/>
    </row>
    <row r="48">
      <c r="A48" s="213" t="n"/>
      <c r="B48" s="213" t="n"/>
      <c r="C48" s="213" t="n"/>
      <c r="D48" s="213" t="n"/>
      <c r="E48" s="213" t="n"/>
      <c r="F48" s="213" t="n"/>
      <c r="G48" s="213" t="n"/>
    </row>
    <row r="49">
      <c r="A49" s="213" t="n"/>
      <c r="B49" s="213" t="n"/>
      <c r="C49" s="213" t="n"/>
      <c r="D49" s="213" t="n"/>
      <c r="E49" s="213" t="n"/>
      <c r="F49" s="213" t="n"/>
      <c r="G49" s="213" t="n"/>
    </row>
    <row r="50">
      <c r="A50" s="306" t="inlineStr">
        <is>
          <t>ESCENARIOS PARA ALCANZAR LA META</t>
        </is>
      </c>
      <c r="B50" s="307" t="n"/>
      <c r="C50" s="307" t="n"/>
      <c r="D50" s="307" t="n"/>
      <c r="E50" s="307" t="n"/>
      <c r="F50" s="307" t="n"/>
      <c r="G50" s="307" t="n"/>
    </row>
    <row r="51">
      <c r="A51" s="213" t="n"/>
      <c r="B51" s="213" t="n"/>
      <c r="C51" s="213" t="n"/>
      <c r="D51" s="213" t="n"/>
      <c r="E51" s="213" t="n"/>
      <c r="F51" s="213" t="n"/>
      <c r="G51" s="213" t="n"/>
    </row>
    <row r="52">
      <c r="A52" s="308" t="inlineStr">
        <is>
          <t>ESCENARIO</t>
        </is>
      </c>
      <c r="B52" s="308" t="inlineStr">
        <is>
          <t>DESCRIPCIÓN</t>
        </is>
      </c>
      <c r="C52" s="308" t="inlineStr">
        <is>
          <t>TARIFA NECESARIA</t>
        </is>
      </c>
      <c r="D52" s="308" t="inlineStr">
        <is>
          <t>VS ACTUAL</t>
        </is>
      </c>
      <c r="E52" s="308" t="inlineStr">
        <is>
          <t>HABITACIONES</t>
        </is>
      </c>
      <c r="F52" s="308" t="inlineStr">
        <is>
          <t>VIABILIDAD</t>
        </is>
      </c>
      <c r="G52" s="308" t="inlineStr">
        <is>
          <t>CÓMO LOGRARLO</t>
        </is>
      </c>
    </row>
    <row r="53">
      <c r="A53" s="309" t="inlineStr">
        <is>
          <t>OPCIÓN A</t>
        </is>
      </c>
      <c r="B53" s="310" t="inlineStr">
        <is>
          <t>Vender las 303 habs faltantes</t>
        </is>
      </c>
      <c r="C53" s="399">
        <f>IFERROR(C47/C45, "-")</f>
        <v/>
      </c>
      <c r="D53" s="400">
        <f>IFERROR((C53/F43)-1, "-")</f>
        <v/>
      </c>
      <c r="E53" s="386">
        <f>C43</f>
        <v/>
      </c>
      <c r="F53" s="314" t="inlineStr">
        <is>
          <t>✅ ALTA</t>
        </is>
      </c>
      <c r="G53" s="310" t="inlineStr">
        <is>
          <t>Bajar tarifa en días de baja demanda</t>
        </is>
      </c>
    </row>
    <row r="54">
      <c r="A54" s="315" t="inlineStr">
        <is>
          <t>OPCIÓN B</t>
        </is>
      </c>
      <c r="B54" s="316" t="inlineStr">
        <is>
          <t>Subir tarifa (misma ocupación)</t>
        </is>
      </c>
      <c r="C54" s="399">
        <f>IFERROR(C42/C44, "-")</f>
        <v/>
      </c>
      <c r="D54" s="400">
        <f>IFERROR((C54/F43)-1, "-")</f>
        <v/>
      </c>
      <c r="E54" s="386">
        <f>C44</f>
        <v/>
      </c>
      <c r="F54" s="320" t="inlineStr">
        <is>
          <t>⚠ MEDIA</t>
        </is>
      </c>
      <c r="G54" s="316" t="inlineStr">
        <is>
          <t>Aumentar valor percibido, upselling</t>
        </is>
      </c>
    </row>
    <row r="55">
      <c r="A55" s="321" t="inlineStr">
        <is>
          <t>OPCIÓN C</t>
        </is>
      </c>
      <c r="B55" s="322" t="inlineStr">
        <is>
          <t>Tarifa mixta (alcanzar pronóstico)</t>
        </is>
      </c>
      <c r="C55" s="399">
        <f>IFERROR(C42/C43, "-")</f>
        <v/>
      </c>
      <c r="D55" s="400">
        <f>IFERROR((C55/F43)-1, "-")</f>
        <v/>
      </c>
      <c r="E55" s="386">
        <f>C43</f>
        <v/>
      </c>
      <c r="F55" s="326" t="inlineStr">
        <is>
          <t>✅ ALTA</t>
        </is>
      </c>
      <c r="G55" s="322" t="inlineStr">
        <is>
          <t>Revenue management dinámico</t>
        </is>
      </c>
    </row>
    <row r="56">
      <c r="A56" s="327" t="inlineStr">
        <is>
          <t>OPCIÓN D</t>
        </is>
      </c>
      <c r="B56" s="328" t="inlineStr">
        <is>
          <t>Combinado: +5% tarifa +150 habs</t>
        </is>
      </c>
      <c r="C56" s="399">
        <f>IFERROR(C42/(C44+150), "-")</f>
        <v/>
      </c>
      <c r="D56" s="400">
        <f>IFERROR((C56/F43)-1, "-")</f>
        <v/>
      </c>
      <c r="E56" s="386">
        <f>C44+150</f>
        <v/>
      </c>
      <c r="F56" s="332" t="inlineStr">
        <is>
          <t>✅ ALTA</t>
        </is>
      </c>
      <c r="G56" s="328" t="inlineStr">
        <is>
          <t>Equilibrio precio-volumen</t>
        </is>
      </c>
    </row>
    <row r="57">
      <c r="A57" s="213" t="n"/>
      <c r="B57" s="213" t="n"/>
      <c r="C57" s="213" t="n"/>
      <c r="D57" s="213" t="n"/>
      <c r="E57" s="213" t="n"/>
      <c r="F57" s="213" t="n"/>
      <c r="G57" s="213" t="n"/>
    </row>
    <row r="58">
      <c r="A58" s="333" t="inlineStr">
        <is>
          <t>🎯 RECOMENDACIÓN ESTRATÉGICA</t>
        </is>
      </c>
      <c r="B58" s="334" t="n"/>
      <c r="C58" s="334" t="n"/>
      <c r="D58" s="334" t="n"/>
      <c r="E58" s="334" t="n"/>
      <c r="F58" s="334" t="n"/>
      <c r="G58" s="334" t="n"/>
    </row>
    <row r="59">
      <c r="A59" s="298" t="inlineStr">
        <is>
          <t>La OPCIÓN A es la más viable:</t>
        </is>
      </c>
      <c r="B59" s="247" t="n"/>
      <c r="C59" s="247" t="n"/>
      <c r="D59" s="247" t="n"/>
      <c r="E59" s="247" t="n"/>
      <c r="F59" s="247" t="n"/>
      <c r="G59" s="247" t="n"/>
    </row>
    <row r="60">
      <c r="A60" s="247" t="inlineStr">
        <is>
          <t>• Tarifa de $706.75 es 7.2% MENOR que tu tarifa actual</t>
        </is>
      </c>
      <c r="B60" s="247" t="n"/>
      <c r="C60" s="247" t="n"/>
      <c r="D60" s="247" t="n"/>
      <c r="E60" s="247" t="n"/>
      <c r="F60" s="247" t="n"/>
      <c r="G60" s="247" t="n"/>
    </row>
    <row r="61">
      <c r="A61" s="247" t="inlineStr">
        <is>
          <t>• Significa que podías ofrecer DESCUENTOS y aún así cumplir la meta</t>
        </is>
      </c>
      <c r="B61" s="247" t="n"/>
      <c r="C61" s="247" t="n"/>
      <c r="D61" s="247" t="n"/>
      <c r="E61" s="247" t="n"/>
      <c r="F61" s="247" t="n"/>
      <c r="G61" s="247" t="n"/>
    </row>
    <row r="62">
      <c r="A62" s="247" t="inlineStr">
        <is>
          <t>• Aplica tarifas promocionales en: Domingos, Lunes, y días con baja demanda</t>
        </is>
      </c>
      <c r="B62" s="247" t="n"/>
      <c r="C62" s="247" t="n"/>
      <c r="D62" s="247" t="n"/>
      <c r="E62" s="247" t="n"/>
      <c r="F62" s="247" t="n"/>
      <c r="G62" s="247" t="n"/>
    </row>
    <row r="63">
      <c r="A63" s="247" t="inlineStr">
        <is>
          <t>• Mantén tarifa alta ($780+) en Jueves y Viernes (alta demanda)</t>
        </is>
      </c>
      <c r="B63" s="247" t="n"/>
      <c r="C63" s="247" t="n"/>
      <c r="D63" s="247" t="n"/>
      <c r="E63" s="247" t="n"/>
      <c r="F63" s="247" t="n"/>
      <c r="G63" s="247" t="n"/>
    </row>
    <row r="64">
      <c r="A64" s="213" t="n"/>
      <c r="B64" s="213" t="n"/>
      <c r="C64" s="213" t="n"/>
      <c r="D64" s="213" t="n"/>
      <c r="E64" s="213" t="n"/>
      <c r="F64" s="213" t="n"/>
      <c r="G64" s="213" t="n"/>
    </row>
    <row r="65">
      <c r="A65" s="335" t="inlineStr">
        <is>
          <t>📊 FÓRMULAS UTILIZADAS</t>
        </is>
      </c>
      <c r="B65" s="215" t="n"/>
      <c r="C65" s="215" t="n"/>
      <c r="D65" s="215" t="n"/>
      <c r="E65" s="215" t="n"/>
      <c r="F65" s="215" t="n"/>
      <c r="G65" s="215" t="n"/>
    </row>
    <row r="66">
      <c r="A66" s="336" t="inlineStr">
        <is>
          <t>Gap de Ingresos:</t>
        </is>
      </c>
      <c r="B66" s="337" t="inlineStr">
        <is>
          <t>Meta - Ingresos Actuales</t>
        </is>
      </c>
      <c r="C66" s="213" t="n"/>
      <c r="D66" s="213" t="n"/>
      <c r="E66" s="213" t="n"/>
      <c r="F66" s="213" t="n"/>
      <c r="G66" s="213" t="n"/>
    </row>
    <row r="67">
      <c r="A67" s="336" t="inlineStr">
        <is>
          <t>Opción A (Tarifa para habs faltantes):</t>
        </is>
      </c>
      <c r="B67" s="337">
        <f>IFERROR(ap / Habitaciones Faltantes,"")</f>
        <v/>
      </c>
      <c r="C67" s="213" t="n"/>
      <c r="D67" s="213" t="n"/>
      <c r="E67" s="213" t="n"/>
      <c r="F67" s="213" t="n"/>
      <c r="G67" s="213" t="n"/>
    </row>
    <row r="68">
      <c r="A68" s="336" t="inlineStr">
        <is>
          <t>Opción B (Tarifa total necesaria):</t>
        </is>
      </c>
      <c r="B68" s="337">
        <f>IFERROR(eta / Habitaciones Ocupadas,"")</f>
        <v/>
      </c>
      <c r="C68" s="213" t="n"/>
      <c r="D68" s="213" t="n"/>
      <c r="E68" s="213" t="n"/>
      <c r="F68" s="213" t="n"/>
      <c r="G68" s="213" t="n"/>
    </row>
    <row r="69">
      <c r="A69" s="336" t="inlineStr">
        <is>
          <t>Opción C (Tarifa mixta):</t>
        </is>
      </c>
      <c r="B69" s="337">
        <f>IFERROR(eta / Pronóstico Total,"")</f>
        <v/>
      </c>
      <c r="C69" s="213" t="n"/>
      <c r="D69" s="213" t="n"/>
      <c r="E69" s="213" t="n"/>
      <c r="F69" s="213" t="n"/>
      <c r="G69" s="213" t="n"/>
    </row>
    <row r="70">
      <c r="A70" s="336" t="inlineStr">
        <is>
          <t>% Variación:</t>
        </is>
      </c>
      <c r="B70" s="337">
        <f>IFERROR(Tarifa Necesaria / Tarifa Actual) - 1,"")</f>
        <v/>
      </c>
      <c r="C70" s="213" t="n"/>
      <c r="D70" s="213" t="n"/>
      <c r="E70" s="213" t="n"/>
      <c r="F70" s="213" t="n"/>
      <c r="G70" s="213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8000"/>
    <outlinePr summaryBelow="1" summaryRight="1"/>
    <pageSetUpPr fitToPage="1"/>
  </sheetPr>
  <dimension ref="A1:Z37"/>
  <sheetViews>
    <sheetView tabSelected="1" zoomScale="90" workbookViewId="0">
      <pane ySplit="5" topLeftCell="A6" activePane="bottomLeft" state="frozen"/>
      <selection pane="bottomLeft" activeCell="Y12" sqref="Y12"/>
    </sheetView>
  </sheetViews>
  <sheetFormatPr baseColWidth="8" defaultRowHeight="15"/>
  <cols>
    <col width="7.5703125" customWidth="1" min="1" max="1"/>
    <col width="15.28515625" customWidth="1" min="2" max="3"/>
    <col width="13.28515625" customWidth="1" min="4" max="7"/>
    <col width="16.140625" customWidth="1" min="8" max="17"/>
    <col width="22" customWidth="1" min="16" max="16"/>
    <col width="18" customWidth="1" min="17" max="17"/>
    <col width="10.42578125" customWidth="1" min="18" max="18"/>
    <col width="18.140625" customWidth="1" min="19" max="21"/>
    <col width="19.85546875" customWidth="1" min="22" max="23"/>
    <col width="16.28515625" customWidth="1" min="24" max="24"/>
    <col width="18.5703125" customWidth="1" min="25" max="25"/>
    <col width="15.5703125" customWidth="1" min="26" max="26"/>
  </cols>
  <sheetData>
    <row r="1" ht="21" customHeight="1">
      <c r="A1" s="338" t="inlineStr">
        <is>
          <t>SEGUIMIENTO DIARIO - REAL VS META</t>
        </is>
      </c>
      <c r="B1" s="334" t="n"/>
      <c r="C1" s="334" t="n"/>
      <c r="D1" s="334" t="n"/>
      <c r="E1" s="334" t="n"/>
      <c r="F1" s="334" t="n"/>
      <c r="G1" s="334" t="n"/>
      <c r="H1" s="334" t="n"/>
      <c r="I1" s="334" t="n"/>
      <c r="J1" s="334" t="n"/>
      <c r="K1" s="334" t="n"/>
      <c r="L1" s="334" t="n"/>
      <c r="M1" s="334" t="n"/>
      <c r="N1" s="334" t="n"/>
      <c r="O1" s="334" t="n"/>
      <c r="P1" s="334" t="n"/>
      <c r="Q1" s="334" t="n"/>
      <c r="R1" s="334" t="n"/>
      <c r="S1" s="334" t="n"/>
      <c r="T1" s="334" t="n"/>
      <c r="U1" s="334" t="n"/>
      <c r="V1" s="213" t="n"/>
      <c r="W1" s="213" t="n"/>
      <c r="X1" s="213" t="n"/>
      <c r="Y1" s="213" t="n"/>
      <c r="Z1" s="213" t="n"/>
    </row>
    <row r="2">
      <c r="A2" s="339" t="inlineStr">
        <is>
          <t>Propiedad: INH3RI  |  Meta Mensual: $1,753,000  |  Habitaciones: 85</t>
        </is>
      </c>
      <c r="B2" s="247" t="n"/>
      <c r="C2" s="247" t="n"/>
      <c r="D2" s="247" t="n"/>
      <c r="E2" s="247" t="n"/>
      <c r="F2" s="247" t="n"/>
      <c r="G2" s="247" t="n"/>
      <c r="H2" s="247" t="n"/>
      <c r="I2" s="247" t="n"/>
      <c r="J2" s="247" t="n"/>
      <c r="K2" s="247" t="n"/>
      <c r="L2" s="247" t="n"/>
      <c r="M2" s="247" t="n"/>
      <c r="N2" s="247" t="n"/>
      <c r="O2" s="247" t="n"/>
      <c r="P2" s="485" t="inlineStr">
        <is>
          <t>PROGRESO DEL MES</t>
        </is>
      </c>
      <c r="Q2" s="247" t="n"/>
      <c r="R2" s="485" t="inlineStr">
        <is>
          <t>PERÍODO</t>
        </is>
      </c>
      <c r="S2" s="247" t="n"/>
      <c r="T2" s="517" t="inlineStr">
        <is>
          <t>NOTA</t>
        </is>
      </c>
      <c r="U2" s="247" t="n"/>
      <c r="V2" s="213" t="n"/>
      <c r="W2" s="213" t="n"/>
      <c r="X2" s="213" t="n"/>
      <c r="Y2" s="213" t="n"/>
      <c r="Z2" s="213" t="n"/>
    </row>
    <row r="3">
      <c r="A3" s="213" t="n"/>
      <c r="B3" s="213" t="n"/>
      <c r="C3" s="213" t="n"/>
      <c r="D3" s="213" t="n"/>
      <c r="E3" s="213" t="n"/>
      <c r="F3" s="213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486">
        <f>COUNTA(E6:E36)&amp;" de "&amp;S6&amp;" días"</f>
        <v/>
      </c>
      <c r="Q3" s="487">
        <f>ROUND(COUNTA(E6:E36)/S6*100,0)&amp;"% completado"</f>
        <v/>
      </c>
      <c r="R3" s="213" t="inlineStr">
        <is>
          <t>Mes:</t>
        </is>
      </c>
      <c r="S3" s="506" t="inlineStr">
        <is>
          <t>2-Febrero</t>
        </is>
      </c>
      <c r="T3" s="213" t="inlineStr">
        <is>
          <t>Los días 29-31 se</t>
        </is>
      </c>
      <c r="U3" s="213" t="n"/>
      <c r="V3" s="213" t="n"/>
      <c r="W3" s="213" t="n"/>
      <c r="X3" s="213" t="n"/>
      <c r="Y3" s="213" t="n"/>
      <c r="Z3" s="213" t="n"/>
    </row>
    <row r="4">
      <c r="A4" s="240" t="inlineStr">
        <is>
          <t>RESUMEN ACTUAL</t>
        </is>
      </c>
      <c r="B4" s="340" t="inlineStr">
        <is>
          <t>Meta:</t>
        </is>
      </c>
      <c r="C4" s="340" t="n"/>
      <c r="D4" s="341" t="n">
        <v>1753000</v>
      </c>
      <c r="E4" s="340" t="inlineStr">
        <is>
          <t>Acumulado:</t>
        </is>
      </c>
      <c r="F4" s="401">
        <f>O33</f>
        <v/>
      </c>
      <c r="G4" s="340" t="inlineStr">
        <is>
          <t>Faltante:</t>
        </is>
      </c>
      <c r="H4" s="402">
        <f>D4-F4</f>
        <v/>
      </c>
      <c r="I4" s="343" t="n"/>
      <c r="J4" s="343" t="n"/>
      <c r="K4" s="343" t="n"/>
      <c r="L4" s="343" t="n"/>
      <c r="M4" s="343" t="n"/>
      <c r="N4" s="343" t="n"/>
      <c r="O4" s="340" t="inlineStr">
        <is>
          <t>Días rest:</t>
        </is>
      </c>
      <c r="P4" s="488">
        <f>REPT("█",ROUND(COUNTA(E6:E36)/S6*10,0))&amp;REPT("░",10-ROUND(COUNTA(E6:E36)/S6*10,0))</f>
        <v/>
      </c>
      <c r="Q4" s="340" t="inlineStr">
        <is>
          <t>Tarifa sugerida:</t>
        </is>
      </c>
      <c r="R4" s="404" t="inlineStr">
        <is>
          <t>Año:</t>
        </is>
      </c>
      <c r="S4" s="507" t="n">
        <v>2026</v>
      </c>
      <c r="T4" s="215" t="inlineStr">
        <is>
          <t>muestran en gris si</t>
        </is>
      </c>
      <c r="U4" s="215" t="n"/>
      <c r="V4" s="213" t="n"/>
      <c r="W4" s="213" t="n"/>
      <c r="X4" s="213" t="n"/>
      <c r="Y4" s="213" t="n"/>
      <c r="Z4" s="213" t="n"/>
    </row>
    <row r="5">
      <c r="A5" s="421" t="inlineStr">
        <is>
          <t>DÍA</t>
        </is>
      </c>
      <c r="B5" s="421" t="inlineStr">
        <is>
          <t>FECHA</t>
        </is>
      </c>
      <c r="C5" s="421" t="inlineStr">
        <is>
          <t>DÍA SEM</t>
        </is>
      </c>
      <c r="D5" s="421" t="inlineStr">
        <is>
          <t>OCC EST</t>
        </is>
      </c>
      <c r="E5" s="421" t="inlineStr">
        <is>
          <t>OCC REAL</t>
        </is>
      </c>
      <c r="F5" s="421" t="inlineStr">
        <is>
          <t>TARIFA EST</t>
        </is>
      </c>
      <c r="G5" s="421" t="inlineStr">
        <is>
          <t>TARIFA REAL</t>
        </is>
      </c>
      <c r="H5" s="421" t="inlineStr">
        <is>
          <t>INGRESO DÍA</t>
        </is>
      </c>
      <c r="I5" s="421" t="inlineStr">
        <is>
          <t>RevPAR EST</t>
        </is>
      </c>
      <c r="J5" s="421" t="inlineStr">
        <is>
          <t>RevPAR REAL</t>
        </is>
      </c>
      <c r="K5" s="421" t="inlineStr">
        <is>
          <t>% RevPAR</t>
        </is>
      </c>
      <c r="L5" s="421" t="inlineStr">
        <is>
          <t>HABS VACÍAS</t>
        </is>
      </c>
      <c r="M5" s="421" t="inlineStr">
        <is>
          <t>$ PERDIDO</t>
        </is>
      </c>
      <c r="N5" s="421" t="inlineStr">
        <is>
          <t>vs SEM ANT</t>
        </is>
      </c>
      <c r="O5" s="421" t="inlineStr">
        <is>
          <t>ACUMULADO</t>
        </is>
      </c>
      <c r="P5" s="421" t="inlineStr">
        <is>
          <t>META ACUM</t>
        </is>
      </c>
      <c r="Q5" s="421" t="inlineStr">
        <is>
          <t>DIF vs META</t>
        </is>
      </c>
      <c r="R5" s="421" t="inlineStr">
        <is>
          <t>Período:</t>
        </is>
      </c>
      <c r="S5" s="508">
        <f>S3&amp;" "&amp;S4</f>
        <v/>
      </c>
      <c r="T5" s="421" t="inlineStr">
        <is>
          <t>no aplican al mes.</t>
        </is>
      </c>
      <c r="U5" s="421" t="inlineStr">
        <is>
          <t>TARIFA SUGERIDA</t>
        </is>
      </c>
      <c r="V5" s="421" t="inlineStr">
        <is>
          <t>ALERTA TARIFA</t>
        </is>
      </c>
      <c r="W5" s="421" t="inlineStr">
        <is>
          <t>PROY. CIERRE</t>
        </is>
      </c>
      <c r="X5" s="421" t="inlineStr">
        <is>
          <t>vs META</t>
        </is>
      </c>
      <c r="Y5" s="421" t="inlineStr">
        <is>
          <t>HABS EXTRAS vs HOY</t>
        </is>
      </c>
      <c r="Z5" s="421" t="inlineStr">
        <is>
          <t>TARIFA SI 100% OCC</t>
        </is>
      </c>
    </row>
    <row r="6" ht="18.75" customHeight="1">
      <c r="A6" s="482" t="n">
        <v>1</v>
      </c>
      <c r="B6" s="423">
        <f>IF($A6&lt;=$S$6,DATE($S$4,VALUE(LEFT($S$3,FIND("-",$S$3)-1)),$A6),"")</f>
        <v/>
      </c>
      <c r="C6" s="458">
        <f>IF(B6="","",TEXT(B6,"ddd"))</f>
        <v/>
      </c>
      <c r="D6" s="424" t="n">
        <v>80</v>
      </c>
      <c r="E6" s="509" t="n">
        <v>69</v>
      </c>
      <c r="F6" s="460" t="n">
        <v>762</v>
      </c>
      <c r="G6" s="510" t="n">
        <v>760</v>
      </c>
      <c r="H6" s="462">
        <f>IF($A6&lt;=$S$6,IFERROR(E6*G6,0),0)</f>
        <v/>
      </c>
      <c r="I6" s="462">
        <f>F6*(D6/100)</f>
        <v/>
      </c>
      <c r="J6" s="462">
        <f>IF(E6="","",G6*(E6/100))</f>
        <v/>
      </c>
      <c r="K6" s="463">
        <f>IF(E6="","",J6/I6)</f>
        <v/>
      </c>
      <c r="L6" s="464">
        <f>IF(E6="","",85-E6)</f>
        <v/>
      </c>
      <c r="M6" s="465">
        <f>IF(E6="","",L6*G6)</f>
        <v/>
      </c>
      <c r="N6" s="460">
        <f>IF(OR(E6="",A6&lt;=7),"-",IF(INDEX(H:H,ROW()-7)=0,"-",TEXT((H6-INDEX(H:H,ROW()-7))/ABS(INDEX(H:H,ROW()-7)),"+0%;-0%")))</f>
        <v/>
      </c>
      <c r="O6" s="466">
        <f>IF($A6&lt;=$S$6,SUM($H$6:H6),0)</f>
        <v/>
      </c>
      <c r="P6" s="489">
        <f>IF($S$6&gt;0,$D$4/$S$6*1,"")</f>
        <v/>
      </c>
      <c r="Q6" s="467" t="n"/>
      <c r="R6" s="468" t="inlineStr">
        <is>
          <t>Días del mes:</t>
        </is>
      </c>
      <c r="S6" s="518">
        <f>DAY(EOMONTH(DATE(S4,VALUE(LEFT(S3,FIND("-",S3)-1)),1),0))</f>
        <v/>
      </c>
      <c r="T6" s="462">
        <f>IF(E6&lt;&gt;"",D$4-O6,"")</f>
        <v/>
      </c>
      <c r="U6" s="470">
        <f>IF(AND(E6&lt;&gt;"",S6&gt;0),T6/(S6*85),"")</f>
        <v/>
      </c>
      <c r="V6" s="471">
        <f>IF(E6="","",IF(S6=0,"✅ Completado",IF(U6&lt;800,"🟢 Alcanzable",IF(U6&lt;=900,"🟡 Difícil","🔴 Muy difícil"))))</f>
        <v/>
      </c>
      <c r="W6" s="472">
        <f>IF(E6="","",IF(A6=0,"",O6/A6*$S$6))</f>
        <v/>
      </c>
      <c r="X6" s="473">
        <f>IF(E6="","",W6-$D$4)</f>
        <v/>
      </c>
      <c r="Y6" s="474">
        <f>IF(E6="","",IF(S6=0,"✅ Completado",IF(T6&lt;=0,"✅ Meta alcanzada",ROUNDUP(T6/(S6*G6),0)-E6)))</f>
        <v/>
      </c>
      <c r="Z6" s="462">
        <f>IF(E6="","",IF(S6=0,"-",IF(T6&lt;=0,"-",T6/(S6*85))))</f>
        <v/>
      </c>
    </row>
    <row r="7" ht="18.75" customHeight="1">
      <c r="A7" s="483" t="n">
        <v>2</v>
      </c>
      <c r="B7" s="430">
        <f>IF($A7&lt;=$S$6,DATE($S$4,VALUE(LEFT($S$3,FIND("-",$S$3)-1)),$A7),"")</f>
        <v/>
      </c>
      <c r="C7" s="458">
        <f>IF(B7="","",TEXT(B7,"ddd"))</f>
        <v/>
      </c>
      <c r="D7" s="431" t="n">
        <v>76</v>
      </c>
      <c r="E7" s="509" t="n">
        <v>65</v>
      </c>
      <c r="F7" s="476" t="n">
        <v>762</v>
      </c>
      <c r="G7" s="510" t="n">
        <v>750</v>
      </c>
      <c r="H7" s="462">
        <f>IF($A7&lt;=$S$6,IFERROR(E7*G7,0),0)</f>
        <v/>
      </c>
      <c r="I7" s="462">
        <f>F7*(D7/100)</f>
        <v/>
      </c>
      <c r="J7" s="462">
        <f>IF(E7="","",G7*(E7/100))</f>
        <v/>
      </c>
      <c r="K7" s="463">
        <f>IF(E7="","",J7/I7)</f>
        <v/>
      </c>
      <c r="L7" s="464">
        <f>IF(E7="","",85-E7)</f>
        <v/>
      </c>
      <c r="M7" s="465">
        <f>IF(E7="","",L7*G7)</f>
        <v/>
      </c>
      <c r="N7" s="460">
        <f>IF(OR(E7="",A7&lt;=7),"-",IF(INDEX(H:H,ROW()-7)=0,"-",TEXT((H7-INDEX(H:H,ROW()-7))/ABS(INDEX(H:H,ROW()-7)),"+0%;-0%")))</f>
        <v/>
      </c>
      <c r="O7" s="466">
        <f>IF($A7&lt;=$S$6,SUM($H$6:H7),0)</f>
        <v/>
      </c>
      <c r="P7" s="462">
        <f>IF($S$6&gt;0,$D$4/$S$6*2,"")</f>
        <v/>
      </c>
      <c r="Q7" s="490">
        <f>IF(COUNTA(E6:E36)&gt;0, ROUND(SUM(H6:H36)/COUNTA(E6:E36)*S6, 0), 0)</f>
        <v/>
      </c>
      <c r="R7" s="468">
        <f>IF(E7="","",IF(Q7&gt;=0,"🟢",IF(Q7&gt;=-50000,"🟡","🔴")))</f>
        <v/>
      </c>
      <c r="S7" s="469">
        <f>$S$6-2</f>
        <v/>
      </c>
      <c r="T7" s="519" t="inlineStr">
        <is>
          <t>LIMPIAR MES:</t>
        </is>
      </c>
      <c r="U7" s="470">
        <f>IF(AND(E7&lt;&gt;"",S7&gt;0),T7/(S7*85),"")</f>
        <v/>
      </c>
      <c r="V7" s="471">
        <f>IF(E7="","",IF(S7=0,"✅ Completado",IF(U7&lt;800,"🟢 Alcanzable",IF(U7&lt;=900,"🟡 Difícil","🔴 Muy difícil"))))</f>
        <v/>
      </c>
      <c r="W7" s="472">
        <f>IF(E7="","",IF(A7=0,"",O7/A7*$S$6))</f>
        <v/>
      </c>
      <c r="X7" s="473">
        <f>IF(E7="","",W7-$D$4)</f>
        <v/>
      </c>
      <c r="Y7" s="474">
        <f>IF(E7="","",IF(S7=0,"✅ Completado",IF(T7&lt;=0,"✅ Meta alcanzada",ROUNDUP(T7/(S7*G7),0)-E7)))</f>
        <v/>
      </c>
      <c r="Z7" s="462">
        <f>IF(E7="","",IF(S7=0,"-",IF(T7&lt;=0,"-",T7/(S7*85))))</f>
        <v/>
      </c>
    </row>
    <row r="8" ht="18.75" customHeight="1">
      <c r="A8" s="482" t="n">
        <v>3</v>
      </c>
      <c r="B8" s="423">
        <f>IF($A8&lt;=$S$6,DATE($S$4,VALUE(LEFT($S$3,FIND("-",$S$3)-1)),$A8),"")</f>
        <v/>
      </c>
      <c r="C8" s="458">
        <f>IF(B8="","",TEXT(B8,"ddd"))</f>
        <v/>
      </c>
      <c r="D8" s="424" t="n">
        <v>83</v>
      </c>
      <c r="E8" s="509" t="n">
        <v>68</v>
      </c>
      <c r="F8" s="460" t="n">
        <v>762</v>
      </c>
      <c r="G8" s="510" t="n">
        <v>800</v>
      </c>
      <c r="H8" s="462">
        <f>IF($A8&lt;=$S$6,IFERROR(E8*G8,0),0)</f>
        <v/>
      </c>
      <c r="I8" s="462">
        <f>F8*(D8/100)</f>
        <v/>
      </c>
      <c r="J8" s="462">
        <f>IF(E8="","",G8*(E8/100))</f>
        <v/>
      </c>
      <c r="K8" s="463">
        <f>IF(E8="","",J8/I8)</f>
        <v/>
      </c>
      <c r="L8" s="464">
        <f>IF(E8="","",85-E8)</f>
        <v/>
      </c>
      <c r="M8" s="465">
        <f>IF(E8="","",L8*G8)</f>
        <v/>
      </c>
      <c r="N8" s="460">
        <f>IF(OR(E8="",A8&lt;=7),"-",IF(INDEX(H:H,ROW()-7)=0,"-",TEXT((H8-INDEX(H:H,ROW()-7))/ABS(INDEX(H:H,ROW()-7)),"+0%;-0%")))</f>
        <v/>
      </c>
      <c r="O8" s="466">
        <f>IF($A8&lt;=$S$6,SUM($H$6:H8),0)</f>
        <v/>
      </c>
      <c r="P8" s="462">
        <f>IF($S$6&gt;0,$D$4/$S$6*3,"")</f>
        <v/>
      </c>
      <c r="Q8" s="491">
        <f>IF(COUNTA(E6:E36)&gt;0, ROUND(AVERAGE(E6:E36), 1)&amp;"%", "-")</f>
        <v/>
      </c>
      <c r="R8" s="468">
        <f>IF(E8="","",IF(Q8&gt;=0,"🟢",IF(Q8&gt;=-50000,"🟡","🔴")))</f>
        <v/>
      </c>
      <c r="S8" s="469">
        <f>$S$6-3</f>
        <v/>
      </c>
      <c r="T8" s="519" t="inlineStr">
        <is>
          <t>Para nuevo mes:</t>
        </is>
      </c>
      <c r="U8" s="470">
        <f>IF(AND(E8&lt;&gt;"",S8&gt;0),T8/(S8*85),"")</f>
        <v/>
      </c>
      <c r="V8" s="471">
        <f>IF(E8="","",IF(S8=0,"✅ Completado",IF(U8&lt;800,"🟢 Alcanzable",IF(U8&lt;=900,"🟡 Difícil","🔴 Muy difícil"))))</f>
        <v/>
      </c>
      <c r="W8" s="472">
        <f>IF(E8="","",IF(A8=0,"",O8/A8*$S$6))</f>
        <v/>
      </c>
      <c r="X8" s="473">
        <f>IF(E8="","",W8-$D$4)</f>
        <v/>
      </c>
      <c r="Y8" s="474">
        <f>IF(E8="","",IF(S8=0,"✅ Completado",IF(T8&lt;=0,"✅ Meta alcanzada",ROUNDUP(T8/(S8*G8),0)-E8)))</f>
        <v/>
      </c>
      <c r="Z8" s="462">
        <f>IF(E8="","",IF(S8=0,"-",IF(T8&lt;=0,"-",T8/(S8*85))))</f>
        <v/>
      </c>
    </row>
    <row r="9" ht="18.75" customHeight="1">
      <c r="A9" s="483" t="n">
        <v>4</v>
      </c>
      <c r="B9" s="430">
        <f>IF($A9&lt;=$S$6,DATE($S$4,VALUE(LEFT($S$3,FIND("-",$S$3)-1)),$A9),"")</f>
        <v/>
      </c>
      <c r="C9" s="458">
        <f>IF(B9="","",TEXT(B9,"ddd"))</f>
        <v/>
      </c>
      <c r="D9" s="431" t="n">
        <v>83</v>
      </c>
      <c r="E9" s="509" t="n">
        <v>40</v>
      </c>
      <c r="F9" s="476" t="n">
        <v>762</v>
      </c>
      <c r="G9" s="510" t="n">
        <v>700</v>
      </c>
      <c r="H9" s="462">
        <f>IF($A9&lt;=$S$6,IFERROR(E9*G9,0),0)</f>
        <v/>
      </c>
      <c r="I9" s="462">
        <f>F9*(D9/100)</f>
        <v/>
      </c>
      <c r="J9" s="462">
        <f>IF(E9="","",G9*(E9/100))</f>
        <v/>
      </c>
      <c r="K9" s="463">
        <f>IF(E9="","",J9/I9)</f>
        <v/>
      </c>
      <c r="L9" s="464">
        <f>IF(E9="","",85-E9)</f>
        <v/>
      </c>
      <c r="M9" s="465">
        <f>IF(E9="","",L9*G9)</f>
        <v/>
      </c>
      <c r="N9" s="460">
        <f>IF(OR(E9="",A9&lt;=7),"-",IF(INDEX(H:H,ROW()-7)=0,"-",TEXT((H9-INDEX(H:H,ROW()-7))/ABS(INDEX(H:H,ROW()-7)),"+0%;-0%")))</f>
        <v/>
      </c>
      <c r="O9" s="466">
        <f>IF($A9&lt;=$S$6,SUM($H$6:H9),0)</f>
        <v/>
      </c>
      <c r="P9" s="462">
        <f>IF($S$6&gt;0,$D$4/$S$6*4,"")</f>
        <v/>
      </c>
      <c r="Q9" s="490">
        <f>IF(COUNTA(E6:E36)&gt;0, ROUND(AVERAGEIF(J6:J36,"&lt;&gt;0"), 0), 0)</f>
        <v/>
      </c>
      <c r="R9" s="468">
        <f>IF(E9="","",IF(Q9&gt;=0,"🟢",IF(Q9&gt;=-50000,"🟡","🔴")))</f>
        <v/>
      </c>
      <c r="S9" s="469">
        <f>$S$6-4</f>
        <v/>
      </c>
      <c r="T9" s="519" t="inlineStr">
        <is>
          <t>1. Cambiar S3 (mes)</t>
        </is>
      </c>
      <c r="U9" s="470">
        <f>IF(AND(E9&lt;&gt;"",S9&gt;0),T9/(S9*85),"")</f>
        <v/>
      </c>
      <c r="V9" s="471">
        <f>IF(E9="","",IF(S9=0,"✅ Completado",IF(U9&lt;800,"🟢 Alcanzable",IF(U9&lt;=900,"🟡 Difícil","🔴 Muy difícil"))))</f>
        <v/>
      </c>
      <c r="W9" s="472">
        <f>IF(E9="","",IF(A9=0,"",O9/A9*$S$6))</f>
        <v/>
      </c>
      <c r="X9" s="473">
        <f>IF(E9="","",W9-$D$4)</f>
        <v/>
      </c>
      <c r="Y9" s="474">
        <f>IF(E9="","",IF(S9=0,"✅ Completado",IF(T9&lt;=0,"✅ Meta alcanzada",ROUNDUP(T9/(S9*G9),0)-E9)))</f>
        <v/>
      </c>
      <c r="Z9" s="462">
        <f>IF(E9="","",IF(S9=0,"-",IF(T9&lt;=0,"-",T9/(S9*85))))</f>
        <v/>
      </c>
    </row>
    <row r="10" ht="18.75" customHeight="1">
      <c r="A10" s="482" t="n">
        <v>5</v>
      </c>
      <c r="B10" s="423">
        <f>IF($A10&lt;=$S$6,DATE($S$4,VALUE(LEFT($S$3,FIND("-",$S$3)-1)),$A10),"")</f>
        <v/>
      </c>
      <c r="C10" s="458">
        <f>IF(B10="","",TEXT(B10,"ddd"))</f>
        <v/>
      </c>
      <c r="D10" s="424" t="n">
        <v>85</v>
      </c>
      <c r="E10" s="509" t="n">
        <v>85</v>
      </c>
      <c r="F10" s="460" t="n">
        <v>762</v>
      </c>
      <c r="G10" s="510" t="n">
        <v>780</v>
      </c>
      <c r="H10" s="462">
        <f>IF($A10&lt;=$S$6,IFERROR(E10*G10,0),0)</f>
        <v/>
      </c>
      <c r="I10" s="462">
        <f>F10*(D10/100)</f>
        <v/>
      </c>
      <c r="J10" s="462">
        <f>IF(E10="","",G10*(E10/100))</f>
        <v/>
      </c>
      <c r="K10" s="463">
        <f>IF(E10="","",J10/I10)</f>
        <v/>
      </c>
      <c r="L10" s="464">
        <f>IF(E10="","",85-E10)</f>
        <v/>
      </c>
      <c r="M10" s="465">
        <f>IF(E10="","",L10*G10)</f>
        <v/>
      </c>
      <c r="N10" s="460">
        <f>IF(OR(E10="",A10&lt;=7),"-",IF(INDEX(H:H,ROW()-7)=0,"-",TEXT((H10-INDEX(H:H,ROW()-7))/ABS(INDEX(H:H,ROW()-7)),"+0%;-0%")))</f>
        <v/>
      </c>
      <c r="O10" s="466">
        <f>IF($A10&lt;=$S$6,SUM($H$6:H10),0)</f>
        <v/>
      </c>
      <c r="P10" s="462">
        <f>IF($S$6&gt;0,$D$4/$S$6*5,"")</f>
        <v/>
      </c>
      <c r="Q10" s="467">
        <f>IF(COUNTA(E6:E36)&gt;0, IF(Q7&gt;=D4, "✓ En meta", "⚠ "&amp;ROUND((1-Q7/D4)*100,0)&amp;"% bajo"), "-")</f>
        <v/>
      </c>
      <c r="R10" s="468">
        <f>IF(E10="","",IF(Q10&gt;=0,"🟢",IF(Q10&gt;=-50000,"🟡","🔴")))</f>
        <v/>
      </c>
      <c r="S10" s="469">
        <f>$S$6-5</f>
        <v/>
      </c>
      <c r="T10" s="519" t="inlineStr">
        <is>
          <t>2. Borrar E6:E36</t>
        </is>
      </c>
      <c r="U10" s="470">
        <f>IF(AND(E10&lt;&gt;"",S10&gt;0),T10/(S10*85),"")</f>
        <v/>
      </c>
      <c r="V10" s="471">
        <f>IF(E10="","",IF(S10=0,"✅ Completado",IF(U10&lt;800,"🟢 Alcanzable",IF(U10&lt;=900,"🟡 Difícil","🔴 Muy difícil"))))</f>
        <v/>
      </c>
      <c r="W10" s="472">
        <f>IF(E10="","",IF(A10=0,"",O10/A10*$S$6))</f>
        <v/>
      </c>
      <c r="X10" s="473">
        <f>IF(E10="","",W10-$D$4)</f>
        <v/>
      </c>
      <c r="Y10" s="474">
        <f>IF(E10="","",IF(S10=0,"✅ Completado",IF(T10&lt;=0,"✅ Meta alcanzada",ROUNDUP(T10/(S10*G10),0)-E10)))</f>
        <v/>
      </c>
      <c r="Z10" s="462">
        <f>IF(E10="","",IF(S10=0,"-",IF(T10&lt;=0,"-",T10/(S10*85))))</f>
        <v/>
      </c>
    </row>
    <row r="11" ht="18.75" customHeight="1">
      <c r="A11" s="483" t="n">
        <v>6</v>
      </c>
      <c r="B11" s="430">
        <f>IF($A11&lt;=$S$6,DATE($S$4,VALUE(LEFT($S$3,FIND("-",$S$3)-1)),$A11),"")</f>
        <v/>
      </c>
      <c r="C11" s="458">
        <f>IF(B11="","",TEXT(B11,"ddd"))</f>
        <v/>
      </c>
      <c r="D11" s="431" t="n">
        <v>85</v>
      </c>
      <c r="E11" s="509" t="n">
        <v>80</v>
      </c>
      <c r="F11" s="476" t="n">
        <v>762</v>
      </c>
      <c r="G11" s="510" t="n">
        <v>800</v>
      </c>
      <c r="H11" s="462">
        <f>IF($A11&lt;=$S$6,IFERROR(E11*G11,0),0)</f>
        <v/>
      </c>
      <c r="I11" s="462">
        <f>F11*(D11/100)</f>
        <v/>
      </c>
      <c r="J11" s="462">
        <f>IF(E11="","",G11*(E11/100))</f>
        <v/>
      </c>
      <c r="K11" s="463">
        <f>IF(E11="","",J11/I11)</f>
        <v/>
      </c>
      <c r="L11" s="464">
        <f>IF(E11="","",85-E11)</f>
        <v/>
      </c>
      <c r="M11" s="465">
        <f>IF(E11="","",L11*G11)</f>
        <v/>
      </c>
      <c r="N11" s="460">
        <f>IF(OR(E11="",A11&lt;=7),"-",IF(INDEX(H:H,ROW()-7)=0,"-",TEXT((H11-INDEX(H:H,ROW()-7))/ABS(INDEX(H:H,ROW()-7)),"+0%;-0%")))</f>
        <v/>
      </c>
      <c r="O11" s="466">
        <f>IF($A11&lt;=$S$6,SUM($H$6:H11),0)</f>
        <v/>
      </c>
      <c r="P11" s="462">
        <f>IF($S$6&gt;0,$D$4/$S$6*6,"")</f>
        <v/>
      </c>
      <c r="Q11" s="467" t="n"/>
      <c r="R11" s="468">
        <f>IF(E11="","",IF(Q11&gt;=0,"🟢",IF(Q11&gt;=-50000,"🟡","🔴")))</f>
        <v/>
      </c>
      <c r="S11" s="469">
        <f>$S$6-6</f>
        <v/>
      </c>
      <c r="T11" s="519" t="inlineStr">
        <is>
          <t>3. Borrar G6:G36</t>
        </is>
      </c>
      <c r="U11" s="470">
        <f>IF(AND(E11&lt;&gt;"",S11&gt;0),T11/(S11*85),"")</f>
        <v/>
      </c>
      <c r="V11" s="471">
        <f>IF(E11="","",IF(S11=0,"✅ Completado",IF(U11&lt;800,"🟢 Alcanzable",IF(U11&lt;=900,"🟡 Difícil","🔴 Muy difícil"))))</f>
        <v/>
      </c>
      <c r="W11" s="472">
        <f>IF(E11="","",IF(A11=0,"",O11/A11*$S$6))</f>
        <v/>
      </c>
      <c r="X11" s="473">
        <f>IF(E11="","",W11-$D$4)</f>
        <v/>
      </c>
      <c r="Y11" s="474">
        <f>IF(E11="","",IF(S11=0,"✅ Completado",IF(T11&lt;=0,"✅ Meta alcanzada",ROUNDUP(T11/(S11*G11),0)-E11)))</f>
        <v/>
      </c>
      <c r="Z11" s="462">
        <f>IF(E11="","",IF(S11=0,"-",IF(T11&lt;=0,"-",T11/(S11*85))))</f>
        <v/>
      </c>
    </row>
    <row r="12" ht="18.75" customHeight="1">
      <c r="A12" s="482" t="n">
        <v>7</v>
      </c>
      <c r="B12" s="423">
        <f>IF($A12&lt;=$S$6,DATE($S$4,VALUE(LEFT($S$3,FIND("-",$S$3)-1)),$A12),"")</f>
        <v/>
      </c>
      <c r="C12" s="458">
        <f>IF(B12="","",TEXT(B12,"ddd"))</f>
        <v/>
      </c>
      <c r="D12" s="424" t="n">
        <v>85</v>
      </c>
      <c r="E12" s="509" t="n">
        <v>85</v>
      </c>
      <c r="F12" s="460" t="n">
        <v>762</v>
      </c>
      <c r="G12" s="510" t="n">
        <v>780</v>
      </c>
      <c r="H12" s="462">
        <f>IF($A12&lt;=$S$6,IFERROR(E12*G12,0),0)</f>
        <v/>
      </c>
      <c r="I12" s="462">
        <f>F12*(D12/100)</f>
        <v/>
      </c>
      <c r="J12" s="462">
        <f>IF(E12="","",G12*(E12/100))</f>
        <v/>
      </c>
      <c r="K12" s="463">
        <f>IF(E12="","",J12/I12)</f>
        <v/>
      </c>
      <c r="L12" s="464">
        <f>IF(E12="","",85-E12)</f>
        <v/>
      </c>
      <c r="M12" s="465">
        <f>IF(E12="","",L12*G12)</f>
        <v/>
      </c>
      <c r="N12" s="460">
        <f>IF(OR(E12="",A12&lt;=7),"-",IF(INDEX(H:H,ROW()-7)=0,"-",TEXT((H12-INDEX(H:H,ROW()-7))/ABS(INDEX(H:H,ROW()-7)),"+0%;-0%")))</f>
        <v/>
      </c>
      <c r="O12" s="466">
        <f>IF($A12&lt;=$S$6,SUM($H$6:H12),0)</f>
        <v/>
      </c>
      <c r="P12" s="492">
        <f>IF($S$6&gt;0,$D$4/$S$6*7,"")</f>
        <v/>
      </c>
      <c r="Q12" s="467" t="n"/>
      <c r="R12" s="468">
        <f>IF(E12="","",IF(Q12&gt;=0,"🟢",IF(Q12&gt;=-50000,"🟡","🔴")))</f>
        <v/>
      </c>
      <c r="S12" s="469">
        <f>$S$6-7</f>
        <v/>
      </c>
      <c r="T12" s="519" t="inlineStr">
        <is>
          <t>(O usar filtro y</t>
        </is>
      </c>
      <c r="U12" s="470">
        <f>IF(AND(E12&lt;&gt;"",S12&gt;0),T12/(S12*85),"")</f>
        <v/>
      </c>
      <c r="V12" s="471">
        <f>IF(E12="","",IF(S12=0,"✅ Completado",IF(U12&lt;800,"🟢 Alcanzable",IF(U12&lt;=900,"🟡 Difícil","🔴 Muy difícil"))))</f>
        <v/>
      </c>
      <c r="W12" s="472">
        <f>IF(E12="","",IF(A12=0,"",O12/A12*$S$6))</f>
        <v/>
      </c>
      <c r="X12" s="473">
        <f>IF(E12="","",W12-$D$4)</f>
        <v/>
      </c>
      <c r="Y12" s="474">
        <f>IF(E12="","",IF(S12=0,"✅ Completado",IF(T12&lt;=0,"✅ Meta alcanzada",ROUNDUP(T12/(S12*G12),0)-E12)))</f>
        <v/>
      </c>
      <c r="Z12" s="462">
        <f>IF(E12="","",IF(S12=0,"-",IF(T12&lt;=0,"-",T12/(S12*85))))</f>
        <v/>
      </c>
    </row>
    <row r="13" ht="18.75" customHeight="1">
      <c r="A13" s="483" t="n">
        <v>8</v>
      </c>
      <c r="B13" s="430">
        <f>IF($A13&lt;=$S$6,DATE($S$4,VALUE(LEFT($S$3,FIND("-",$S$3)-1)),$A13),"")</f>
        <v/>
      </c>
      <c r="C13" s="458">
        <f>IF(B13="","",TEXT(B13,"ddd"))</f>
        <v/>
      </c>
      <c r="D13" s="431" t="n">
        <v>83</v>
      </c>
      <c r="E13" s="509" t="n">
        <v>70</v>
      </c>
      <c r="F13" s="476" t="n">
        <v>762</v>
      </c>
      <c r="G13" s="510" t="n">
        <v>780</v>
      </c>
      <c r="H13" s="462">
        <f>IF($A13&lt;=$S$6,IFERROR(E13*G13,0),0)</f>
        <v/>
      </c>
      <c r="I13" s="462">
        <f>F13*(D13/100)</f>
        <v/>
      </c>
      <c r="J13" s="462">
        <f>IF(E13="","",G13*(E13/100))</f>
        <v/>
      </c>
      <c r="K13" s="463">
        <f>IF(E13="","",J13/I13)</f>
        <v/>
      </c>
      <c r="L13" s="464">
        <f>IF(E13="","",85-E13)</f>
        <v/>
      </c>
      <c r="M13" s="465">
        <f>IF(E13="","",L13*G13)</f>
        <v/>
      </c>
      <c r="N13" s="477">
        <f>IF(OR(E13="",A13&lt;=7),"-",IF(INDEX(H:H,ROW()-7)=0,"-",TEXT((H13-INDEX(H:H,ROW()-7))/ABS(INDEX(H:H,ROW()-7)),"+0%;-0%")))</f>
        <v/>
      </c>
      <c r="O13" s="466">
        <f>IF($A13&lt;=$S$6,SUM($H$6:H13),0)</f>
        <v/>
      </c>
      <c r="P13" s="493">
        <f>IF($S$6&gt;0,$D$4/$S$6*8,"")</f>
        <v/>
      </c>
      <c r="Q13" s="467" t="n"/>
      <c r="R13" s="468">
        <f>IF(E13="","",IF(Q13&gt;=0,"🟢",IF(Q13&gt;=-50000,"🟡","🔴")))</f>
        <v/>
      </c>
      <c r="S13" s="469">
        <f>$S$6-8</f>
        <v/>
      </c>
      <c r="T13" s="519" t="inlineStr">
        <is>
          <t>borrar valores)</t>
        </is>
      </c>
      <c r="U13" s="470">
        <f>IF(AND(E13&lt;&gt;"",S13&gt;0),T13/(S13*85),"")</f>
        <v/>
      </c>
      <c r="V13" s="471">
        <f>IF(E13="","",IF(S13=0,"✅ Completado",IF(U13&lt;800,"🟢 Alcanzable",IF(U13&lt;=900,"🟡 Difícil","🔴 Muy difícil"))))</f>
        <v/>
      </c>
      <c r="W13" s="472">
        <f>IF(E13="","",IF(A13=0,"",O13/A13*$S$6))</f>
        <v/>
      </c>
      <c r="X13" s="473">
        <f>IF(E13="","",W13-$D$4)</f>
        <v/>
      </c>
      <c r="Y13" s="474">
        <f>IF(E13="","",IF(S13=0,"✅ Completado",IF(T13&lt;=0,"✅ Meta alcanzada",ROUNDUP(T13/(S13*G13),0)-E13)))</f>
        <v/>
      </c>
      <c r="Z13" s="462">
        <f>IF(E13="","",IF(S13=0,"-",IF(T13&lt;=0,"-",T13/(S13*85))))</f>
        <v/>
      </c>
    </row>
    <row r="14" ht="18.75" customHeight="1">
      <c r="A14" s="482" t="n">
        <v>9</v>
      </c>
      <c r="B14" s="423">
        <f>IF($A14&lt;=$S$6,DATE($S$4,VALUE(LEFT($S$3,FIND("-",$S$3)-1)),$A14),"")</f>
        <v/>
      </c>
      <c r="C14" s="458">
        <f>IF(B14="","",TEXT(B14,"ddd"))</f>
        <v/>
      </c>
      <c r="D14" s="424" t="n">
        <v>85</v>
      </c>
      <c r="E14" s="509" t="n">
        <v>82</v>
      </c>
      <c r="F14" s="460" t="n">
        <v>762</v>
      </c>
      <c r="G14" s="510" t="n">
        <v>780</v>
      </c>
      <c r="H14" s="462">
        <f>IF($A14&lt;=$S$6,IFERROR(E14*G14,0),0)</f>
        <v/>
      </c>
      <c r="I14" s="462">
        <f>F14*(D14/100)</f>
        <v/>
      </c>
      <c r="J14" s="462">
        <f>IF(E14="","",G14*(E14/100))</f>
        <v/>
      </c>
      <c r="K14" s="463">
        <f>IF(E14="","",J14/I14)</f>
        <v/>
      </c>
      <c r="L14" s="464">
        <f>IF(E14="","",85-E14)</f>
        <v/>
      </c>
      <c r="M14" s="465">
        <f>IF(E14="","",L14*G14)</f>
        <v/>
      </c>
      <c r="N14" s="477">
        <f>IF(OR(E14="",A14&lt;=7),"-",IF(INDEX(H:H,ROW()-7)=0,"-",TEXT((H14-INDEX(H:H,ROW()-7))/ABS(INDEX(H:H,ROW()-7)),"+0%;-0%")))</f>
        <v/>
      </c>
      <c r="O14" s="466">
        <f>IF($A14&lt;=$S$6,SUM($H$6:H14),0)</f>
        <v/>
      </c>
      <c r="P14" s="494">
        <f>IF($S$6&gt;0,$D$4/$S$6*9,"")</f>
        <v/>
      </c>
      <c r="Q14" s="467" t="n"/>
      <c r="R14" s="468">
        <f>IF(E14="","",IF(Q14&gt;=0,"🟢",IF(Q14&gt;=-50000,"🟡","🔴")))</f>
        <v/>
      </c>
      <c r="S14" s="469">
        <f>$S$6-9</f>
        <v/>
      </c>
      <c r="T14" s="462">
        <f>IF(E14&lt;&gt;"",D$4-O14,"")</f>
        <v/>
      </c>
      <c r="U14" s="470">
        <f>IF(AND(E14&lt;&gt;"",S14&gt;0),T14/(S14*85),"")</f>
        <v/>
      </c>
      <c r="V14" s="471">
        <f>IF(E14="","",IF(S14=0,"✅ Completado",IF(U14&lt;800,"🟢 Alcanzable",IF(U14&lt;=900,"🟡 Difícil","🔴 Muy difícil"))))</f>
        <v/>
      </c>
      <c r="W14" s="472">
        <f>IF(E14="","",IF(A14=0,"",O14/A14*$S$6))</f>
        <v/>
      </c>
      <c r="X14" s="473">
        <f>IF(E14="","",W14-$D$4)</f>
        <v/>
      </c>
      <c r="Y14" s="474">
        <f>IF(E14="","",IF(S14=0,"✅ Completado",IF(T14&lt;=0,"✅ Meta alcanzada",ROUNDUP(T14/(S14*G14),0)-E14)))</f>
        <v/>
      </c>
      <c r="Z14" s="462">
        <f>IF(E14="","",IF(S14=0,"-",IF(T14&lt;=0,"-",T14/(S14*85))))</f>
        <v/>
      </c>
    </row>
    <row r="15" ht="18.75" customHeight="1">
      <c r="A15" s="483" t="n">
        <v>10</v>
      </c>
      <c r="B15" s="430">
        <f>IF($A15&lt;=$S$6,DATE($S$4,VALUE(LEFT($S$3,FIND("-",$S$3)-1)),$A15),"")</f>
        <v/>
      </c>
      <c r="C15" s="458">
        <f>IF(B15="","",TEXT(B15,"ddd"))</f>
        <v/>
      </c>
      <c r="D15" s="431" t="n">
        <v>85</v>
      </c>
      <c r="E15" s="509" t="n">
        <v>80</v>
      </c>
      <c r="F15" s="476" t="n">
        <v>762</v>
      </c>
      <c r="G15" s="510" t="n">
        <v>800</v>
      </c>
      <c r="H15" s="462">
        <f>IF($A15&lt;=$S$6,IFERROR(E15*G15,0),0)</f>
        <v/>
      </c>
      <c r="I15" s="462">
        <f>F15*(D15/100)</f>
        <v/>
      </c>
      <c r="J15" s="462">
        <f>IF(E15="","",G15*(E15/100))</f>
        <v/>
      </c>
      <c r="K15" s="463">
        <f>IF(E15="","",J15/I15)</f>
        <v/>
      </c>
      <c r="L15" s="464">
        <f>IF(E15="","",85-E15)</f>
        <v/>
      </c>
      <c r="M15" s="465">
        <f>IF(E15="","",L15*G15)</f>
        <v/>
      </c>
      <c r="N15" s="477">
        <f>IF(OR(E15="",A15&lt;=7),"-",IF(INDEX(H:H,ROW()-7)=0,"-",TEXT((H15-INDEX(H:H,ROW()-7))/ABS(INDEX(H:H,ROW()-7)),"+0%;-0%")))</f>
        <v/>
      </c>
      <c r="O15" s="466">
        <f>IF($A15&lt;=$S$6,SUM($H$6:H15),0)</f>
        <v/>
      </c>
      <c r="P15" s="462">
        <f>IF($S$6&gt;0,$D$4/$S$6*10,"")</f>
        <v/>
      </c>
      <c r="Q15" s="467">
        <f>O15-P15</f>
        <v/>
      </c>
      <c r="R15" s="468">
        <f>IF(E15="","",IF(Q15&gt;=0,"🟢",IF(Q15&gt;=-50000,"🟡","🔴")))</f>
        <v/>
      </c>
      <c r="S15" s="469">
        <f>$S$6-10</f>
        <v/>
      </c>
      <c r="T15" s="462">
        <f>IF(E15&lt;&gt;"",D$4-O15,"")</f>
        <v/>
      </c>
      <c r="U15" s="470">
        <f>IF(AND(E15&lt;&gt;"",S15&gt;0),T15/(S15*85),"")</f>
        <v/>
      </c>
      <c r="V15" s="471">
        <f>IF(E15="","",IF(S15=0,"✅ Completado",IF(U15&lt;800,"🟢 Alcanzable",IF(U15&lt;=900,"🟡 Difícil","🔴 Muy difícil"))))</f>
        <v/>
      </c>
      <c r="W15" s="472">
        <f>IF(E15="","",IF(A15=0,"",O15/A15*$S$6))</f>
        <v/>
      </c>
      <c r="X15" s="473">
        <f>IF(E15="","",W15-$D$4)</f>
        <v/>
      </c>
      <c r="Y15" s="474">
        <f>IF(E15="","",IF(S15=0,"✅ Completado",IF(T15&lt;=0,"✅ Meta alcanzada",ROUNDUP(T15/(S15*G15),0)-E15)))</f>
        <v/>
      </c>
      <c r="Z15" s="462">
        <f>IF(E15="","",IF(S15=0,"-",IF(T15&lt;=0,"-",T15/(S15*85))))</f>
        <v/>
      </c>
    </row>
    <row r="16" ht="18.75" customHeight="1">
      <c r="A16" s="482" t="n">
        <v>11</v>
      </c>
      <c r="B16" s="423">
        <f>IF($A16&lt;=$S$6,DATE($S$4,VALUE(LEFT($S$3,FIND("-",$S$3)-1)),$A16),"")</f>
        <v/>
      </c>
      <c r="C16" s="458">
        <f>IF(B16="","",TEXT(B16,"ddd"))</f>
        <v/>
      </c>
      <c r="D16" s="424" t="n">
        <v>85</v>
      </c>
      <c r="E16" s="509" t="n">
        <v>75</v>
      </c>
      <c r="F16" s="460" t="n">
        <v>762</v>
      </c>
      <c r="G16" s="510" t="n">
        <v>720</v>
      </c>
      <c r="H16" s="462">
        <f>IF($A16&lt;=$S$6,IFERROR(E16*G16,0),0)</f>
        <v/>
      </c>
      <c r="I16" s="462">
        <f>F16*(D16/100)</f>
        <v/>
      </c>
      <c r="J16" s="462">
        <f>IF(E16="","",G16*(E16/100))</f>
        <v/>
      </c>
      <c r="K16" s="463">
        <f>IF(E16="","",J16/I16)</f>
        <v/>
      </c>
      <c r="L16" s="464">
        <f>IF(E16="","",85-E16)</f>
        <v/>
      </c>
      <c r="M16" s="465">
        <f>IF(E16="","",L16*G16)</f>
        <v/>
      </c>
      <c r="N16" s="477">
        <f>IF(OR(E16="",A16&lt;=7),"-",IF(INDEX(H:H,ROW()-7)=0,"-",TEXT((H16-INDEX(H:H,ROW()-7))/ABS(INDEX(H:H,ROW()-7)),"+0%;-0%")))</f>
        <v/>
      </c>
      <c r="O16" s="466">
        <f>IF($A16&lt;=$S$6,SUM($H$6:H16),0)</f>
        <v/>
      </c>
      <c r="P16" s="462">
        <f>IF($S$6&gt;0,$D$4/$S$6*11,"")</f>
        <v/>
      </c>
      <c r="Q16" s="467">
        <f>O16-P16</f>
        <v/>
      </c>
      <c r="R16" s="468">
        <f>IF(E16="","",IF(Q16&gt;=0,"🟢",IF(Q16&gt;=-50000,"🟡","🔴")))</f>
        <v/>
      </c>
      <c r="S16" s="469">
        <f>$S$6-11</f>
        <v/>
      </c>
      <c r="T16" s="462">
        <f>IF(E16&lt;&gt;"",D$4-O16,"")</f>
        <v/>
      </c>
      <c r="U16" s="470">
        <f>IF(AND(E16&lt;&gt;"",S16&gt;0),T16/(S16*85),"")</f>
        <v/>
      </c>
      <c r="V16" s="471">
        <f>IF(E16="","",IF(S16=0,"✅ Completado",IF(U16&lt;800,"🟢 Alcanzable",IF(U16&lt;=900,"🟡 Difícil","🔴 Muy difícil"))))</f>
        <v/>
      </c>
      <c r="W16" s="472">
        <f>IF(E16="","",IF(A16=0,"",O16/A16*$S$6))</f>
        <v/>
      </c>
      <c r="X16" s="473">
        <f>IF(E16="","",W16-$D$4)</f>
        <v/>
      </c>
      <c r="Y16" s="474">
        <f>IF(E16="","",IF(S16=0,"✅ Completado",IF(T16&lt;=0,"✅ Meta alcanzada",ROUNDUP(T16/(S16*G16),0)-E16)))</f>
        <v/>
      </c>
      <c r="Z16" s="462">
        <f>IF(E16="","",IF(S16=0,"-",IF(T16&lt;=0,"-",T16/(S16*85))))</f>
        <v/>
      </c>
    </row>
    <row r="17" ht="18.75" customHeight="1">
      <c r="A17" s="483" t="n">
        <v>12</v>
      </c>
      <c r="B17" s="430">
        <f>IF($A17&lt;=$S$6,DATE($S$4,VALUE(LEFT($S$3,FIND("-",$S$3)-1)),$A17),"")</f>
        <v/>
      </c>
      <c r="C17" s="458">
        <f>IF(B17="","",TEXT(B17,"ddd"))</f>
        <v/>
      </c>
      <c r="D17" s="431" t="n">
        <v>85</v>
      </c>
      <c r="E17" s="509" t="n">
        <v>88</v>
      </c>
      <c r="F17" s="476" t="n">
        <v>762</v>
      </c>
      <c r="G17" s="510" t="n">
        <v>790</v>
      </c>
      <c r="H17" s="462">
        <f>IF($A17&lt;=$S$6,IFERROR(E17*G17,0),0)</f>
        <v/>
      </c>
      <c r="I17" s="462">
        <f>F17*(D17/100)</f>
        <v/>
      </c>
      <c r="J17" s="462">
        <f>IF(E17="","",G17*(E17/100))</f>
        <v/>
      </c>
      <c r="K17" s="463">
        <f>IF(E17="","",J17/I17)</f>
        <v/>
      </c>
      <c r="L17" s="464">
        <f>IF(E17="","",85-E17)</f>
        <v/>
      </c>
      <c r="M17" s="465">
        <f>IF(E17="","",L17*G17)</f>
        <v/>
      </c>
      <c r="N17" s="477">
        <f>IF(OR(E17="",A17&lt;=7),"-",IF(INDEX(H:H,ROW()-7)=0,"-",TEXT((H17-INDEX(H:H,ROW()-7))/ABS(INDEX(H:H,ROW()-7)),"+0%;-0%")))</f>
        <v/>
      </c>
      <c r="O17" s="466">
        <f>IF($A17&lt;=$S$6,SUM($H$6:H17),0)</f>
        <v/>
      </c>
      <c r="P17" s="462">
        <f>IF($S$6&gt;0,$D$4/$S$6*12,"")</f>
        <v/>
      </c>
      <c r="Q17" s="467">
        <f>O17-P17</f>
        <v/>
      </c>
      <c r="R17" s="468">
        <f>IF(E17="","",IF(Q17&gt;=0,"🟢",IF(Q17&gt;=-50000,"🟡","🔴")))</f>
        <v/>
      </c>
      <c r="S17" s="469">
        <f>$S$6-12</f>
        <v/>
      </c>
      <c r="T17" s="462">
        <f>IF(E17&lt;&gt;"",D$4-O17,"")</f>
        <v/>
      </c>
      <c r="U17" s="470">
        <f>IF(AND(E17&lt;&gt;"",S17&gt;0),T17/(S17*85),"")</f>
        <v/>
      </c>
      <c r="V17" s="471">
        <f>IF(E17="","",IF(S17=0,"✅ Completado",IF(U17&lt;800,"🟢 Alcanzable",IF(U17&lt;=900,"🟡 Difícil","🔴 Muy difícil"))))</f>
        <v/>
      </c>
      <c r="W17" s="472">
        <f>IF(E17="","",IF(A17=0,"",O17/A17*$S$6))</f>
        <v/>
      </c>
      <c r="X17" s="473">
        <f>IF(E17="","",W17-$D$4)</f>
        <v/>
      </c>
      <c r="Y17" s="474">
        <f>IF(E17="","",IF(S17=0,"✅ Completado",IF(T17&lt;=0,"✅ Meta alcanzada",ROUNDUP(T17/(S17*G17),0)-E17)))</f>
        <v/>
      </c>
      <c r="Z17" s="462">
        <f>IF(E17="","",IF(S17=0,"-",IF(T17&lt;=0,"-",T17/(S17*85))))</f>
        <v/>
      </c>
    </row>
    <row r="18" ht="18.75" customHeight="1">
      <c r="A18" s="482" t="n">
        <v>13</v>
      </c>
      <c r="B18" s="423">
        <f>IF($A18&lt;=$S$6,DATE($S$4,VALUE(LEFT($S$3,FIND("-",$S$3)-1)),$A18),"")</f>
        <v/>
      </c>
      <c r="C18" s="458">
        <f>IF(B18="","",TEXT(B18,"ddd"))</f>
        <v/>
      </c>
      <c r="D18" s="424" t="n">
        <v>85</v>
      </c>
      <c r="E18" s="509" t="n">
        <v>82</v>
      </c>
      <c r="F18" s="460" t="n">
        <v>762</v>
      </c>
      <c r="G18" s="510" t="n">
        <v>820</v>
      </c>
      <c r="H18" s="462">
        <f>IF($A18&lt;=$S$6,IFERROR(E18*G18,0),0)</f>
        <v/>
      </c>
      <c r="I18" s="462">
        <f>F18*(D18/100)</f>
        <v/>
      </c>
      <c r="J18" s="462">
        <f>IF(E18="","",G18*(E18/100))</f>
        <v/>
      </c>
      <c r="K18" s="463">
        <f>IF(E18="","",J18/I18)</f>
        <v/>
      </c>
      <c r="L18" s="464">
        <f>IF(E18="","",85-E18)</f>
        <v/>
      </c>
      <c r="M18" s="465">
        <f>IF(E18="","",L18*G18)</f>
        <v/>
      </c>
      <c r="N18" s="477">
        <f>IF(OR(E18="",A18&lt;=7),"-",IF(INDEX(H:H,ROW()-7)=0,"-",TEXT((H18-INDEX(H:H,ROW()-7))/ABS(INDEX(H:H,ROW()-7)),"+0%;-0%")))</f>
        <v/>
      </c>
      <c r="O18" s="466">
        <f>IF($A18&lt;=$S$6,SUM($H$6:H18),0)</f>
        <v/>
      </c>
      <c r="P18" s="462">
        <f>IF($S$6&gt;0,$D$4/$S$6*13,"")</f>
        <v/>
      </c>
      <c r="Q18" s="467">
        <f>O18-P18</f>
        <v/>
      </c>
      <c r="R18" s="468">
        <f>IF(E18="","",IF(Q18&gt;=0,"🟢",IF(Q18&gt;=-50000,"🟡","🔴")))</f>
        <v/>
      </c>
      <c r="S18" s="469">
        <f>$S$6-13</f>
        <v/>
      </c>
      <c r="T18" s="462">
        <f>IF(E18&lt;&gt;"",D$4-O18,"")</f>
        <v/>
      </c>
      <c r="U18" s="470">
        <f>IF(AND(E18&lt;&gt;"",S18&gt;0),T18/(S18*85),"")</f>
        <v/>
      </c>
      <c r="V18" s="471">
        <f>IF(E18="","",IF(S18=0,"✅ Completado",IF(U18&lt;800,"🟢 Alcanzable",IF(U18&lt;=900,"🟡 Difícil","🔴 Muy difícil"))))</f>
        <v/>
      </c>
      <c r="W18" s="472">
        <f>IF(E18="","",IF(A18=0,"",O18/A18*$S$6))</f>
        <v/>
      </c>
      <c r="X18" s="473">
        <f>IF(E18="","",W18-$D$4)</f>
        <v/>
      </c>
      <c r="Y18" s="474">
        <f>IF(E18="","",IF(S18=0,"✅ Completado",IF(T18&lt;=0,"✅ Meta alcanzada",ROUNDUP(T18/(S18*G18),0)-E18)))</f>
        <v/>
      </c>
      <c r="Z18" s="462">
        <f>IF(E18="","",IF(S18=0,"-",IF(T18&lt;=0,"-",T18/(S18*85))))</f>
        <v/>
      </c>
    </row>
    <row r="19" ht="18.75" customHeight="1">
      <c r="A19" s="483" t="n">
        <v>14</v>
      </c>
      <c r="B19" s="430">
        <f>IF($A19&lt;=$S$6,DATE($S$4,VALUE(LEFT($S$3,FIND("-",$S$3)-1)),$A19),"")</f>
        <v/>
      </c>
      <c r="C19" s="458">
        <f>IF(B19="","",TEXT(B19,"ddd"))</f>
        <v/>
      </c>
      <c r="D19" s="431" t="n">
        <v>85</v>
      </c>
      <c r="E19" s="509" t="n">
        <v>85</v>
      </c>
      <c r="F19" s="476" t="n">
        <v>762</v>
      </c>
      <c r="G19" s="510" t="n">
        <v>850</v>
      </c>
      <c r="H19" s="462">
        <f>IF($A19&lt;=$S$6,IFERROR(E19*G19,0),0)</f>
        <v/>
      </c>
      <c r="I19" s="462">
        <f>F19*(D19/100)</f>
        <v/>
      </c>
      <c r="J19" s="462">
        <f>IF(E19="","",G19*(E19/100))</f>
        <v/>
      </c>
      <c r="K19" s="463">
        <f>IF(E19="","",J19/I19)</f>
        <v/>
      </c>
      <c r="L19" s="464">
        <f>IF(E19="","",85-E19)</f>
        <v/>
      </c>
      <c r="M19" s="465">
        <f>IF(E19="","",L19*G19)</f>
        <v/>
      </c>
      <c r="N19" s="477">
        <f>IF(OR(E19="",A19&lt;=7),"-",IF(INDEX(H:H,ROW()-7)=0,"-",TEXT((H19-INDEX(H:H,ROW()-7))/ABS(INDEX(H:H,ROW()-7)),"+0%;-0%")))</f>
        <v/>
      </c>
      <c r="O19" s="466">
        <f>IF($A19&lt;=$S$6,SUM($H$6:H19),0)</f>
        <v/>
      </c>
      <c r="P19" s="462">
        <f>IF($S$6&gt;0,$D$4/$S$6*14,"")</f>
        <v/>
      </c>
      <c r="Q19" s="467">
        <f>O19-P19</f>
        <v/>
      </c>
      <c r="R19" s="468">
        <f>IF(E19="","",IF(Q19&gt;=0,"🟢",IF(Q19&gt;=-50000,"🟡","🔴")))</f>
        <v/>
      </c>
      <c r="S19" s="469">
        <f>$S$6-14</f>
        <v/>
      </c>
      <c r="T19" s="462">
        <f>IF(E19&lt;&gt;"",D$4-O19,"")</f>
        <v/>
      </c>
      <c r="U19" s="470">
        <f>IF(AND(E19&lt;&gt;"",S19&gt;0),T19/(S19*85),"")</f>
        <v/>
      </c>
      <c r="V19" s="471">
        <f>IF(E19="","",IF(S19=0,"✅ Completado",IF(U19&lt;800,"🟢 Alcanzable",IF(U19&lt;=900,"🟡 Difícil","🔴 Muy difícil"))))</f>
        <v/>
      </c>
      <c r="W19" s="472">
        <f>IF(E19="","",IF(A19=0,"",O19/A19*$S$6))</f>
        <v/>
      </c>
      <c r="X19" s="473">
        <f>IF(E19="","",W19-$D$4)</f>
        <v/>
      </c>
      <c r="Y19" s="474">
        <f>IF(E19="","",IF(S19=0,"✅ Completado",IF(T19&lt;=0,"✅ Meta alcanzada",ROUNDUP(T19/(S19*G19),0)-E19)))</f>
        <v/>
      </c>
      <c r="Z19" s="462">
        <f>IF(E19="","",IF(S19=0,"-",IF(T19&lt;=0,"-",T19/(S19*85))))</f>
        <v/>
      </c>
    </row>
    <row r="20" ht="18.75" customHeight="1">
      <c r="A20" s="482" t="n">
        <v>15</v>
      </c>
      <c r="B20" s="423">
        <f>IF($A20&lt;=$S$6,DATE($S$4,VALUE(LEFT($S$3,FIND("-",$S$3)-1)),$A20),"")</f>
        <v/>
      </c>
      <c r="C20" s="458">
        <f>IF(B20="","",TEXT(B20,"ddd"))</f>
        <v/>
      </c>
      <c r="D20" s="424" t="n">
        <v>78</v>
      </c>
      <c r="E20" s="509" t="n">
        <v>72</v>
      </c>
      <c r="F20" s="460" t="n">
        <v>762</v>
      </c>
      <c r="G20" s="510" t="n">
        <v>760</v>
      </c>
      <c r="H20" s="462">
        <f>IF($A20&lt;=$S$6,IFERROR(E20*G20,0),0)</f>
        <v/>
      </c>
      <c r="I20" s="462">
        <f>F20*(D20/100)</f>
        <v/>
      </c>
      <c r="J20" s="462">
        <f>IF(E20="","",G20*(E20/100))</f>
        <v/>
      </c>
      <c r="K20" s="463">
        <f>IF(E20="","",J20/I20)</f>
        <v/>
      </c>
      <c r="L20" s="464">
        <f>IF(E20="","",85-E20)</f>
        <v/>
      </c>
      <c r="M20" s="465">
        <f>IF(E20="","",L20*G20)</f>
        <v/>
      </c>
      <c r="N20" s="477">
        <f>IF(OR(E20="",A20&lt;=7),"-",IF(INDEX(H:H,ROW()-7)=0,"-",TEXT((H20-INDEX(H:H,ROW()-7))/ABS(INDEX(H:H,ROW()-7)),"+0%;-0%")))</f>
        <v/>
      </c>
      <c r="O20" s="466">
        <f>IF($A20&lt;=$S$6,SUM($H$6:H20),0)</f>
        <v/>
      </c>
      <c r="P20" s="462">
        <f>IF($S$6&gt;0,$D$4/$S$6*15,"")</f>
        <v/>
      </c>
      <c r="Q20" s="467">
        <f>O20-P20</f>
        <v/>
      </c>
      <c r="R20" s="468">
        <f>IF(E20="","",IF(Q20&gt;=0,"🟢",IF(Q20&gt;=-50000,"🟡","🔴")))</f>
        <v/>
      </c>
      <c r="S20" s="469">
        <f>$S$6-15</f>
        <v/>
      </c>
      <c r="T20" s="462">
        <f>IF(E20&lt;&gt;"",D$4-O20,"")</f>
        <v/>
      </c>
      <c r="U20" s="470">
        <f>IF(AND(E20&lt;&gt;"",S20&gt;0),T20/(S20*85),"")</f>
        <v/>
      </c>
      <c r="V20" s="471">
        <f>IF(E20="","",IF(S20=0,"✅ Completado",IF(U20&lt;800,"🟢 Alcanzable",IF(U20&lt;=900,"🟡 Difícil","🔴 Muy difícil"))))</f>
        <v/>
      </c>
      <c r="W20" s="472">
        <f>IF(E20="","",IF(A20=0,"",O20/A20*$S$6))</f>
        <v/>
      </c>
      <c r="X20" s="473">
        <f>IF(E20="","",W20-$D$4)</f>
        <v/>
      </c>
      <c r="Y20" s="474">
        <f>IF(E20="","",IF(S20=0,"✅ Completado",IF(T20&lt;=0,"✅ Meta alcanzada",ROUNDUP(T20/(S20*G20),0)-E20)))</f>
        <v/>
      </c>
      <c r="Z20" s="462">
        <f>IF(E20="","",IF(S20=0,"-",IF(T20&lt;=0,"-",T20/(S20*85))))</f>
        <v/>
      </c>
    </row>
    <row r="21" ht="18.75" customHeight="1">
      <c r="A21" s="483" t="n">
        <v>16</v>
      </c>
      <c r="B21" s="430">
        <f>IF($A21&lt;=$S$6,DATE($S$4,VALUE(LEFT($S$3,FIND("-",$S$3)-1)),$A21),"")</f>
        <v/>
      </c>
      <c r="C21" s="458">
        <f>IF(B21="","",TEXT(B21,"ddd"))</f>
        <v/>
      </c>
      <c r="D21" s="431" t="n">
        <v>78</v>
      </c>
      <c r="E21" s="509" t="n">
        <v>80</v>
      </c>
      <c r="F21" s="476" t="n">
        <v>762</v>
      </c>
      <c r="G21" s="510" t="n">
        <v>780</v>
      </c>
      <c r="H21" s="462">
        <f>IF($A21&lt;=$S$6,IFERROR(E21*G21,0),0)</f>
        <v/>
      </c>
      <c r="I21" s="462">
        <f>F21*(D21/100)</f>
        <v/>
      </c>
      <c r="J21" s="462">
        <f>IF(E21="","",G21*(E21/100))</f>
        <v/>
      </c>
      <c r="K21" s="463">
        <f>IF(E21="","",J21/I21)</f>
        <v/>
      </c>
      <c r="L21" s="464">
        <f>IF(E21="","",85-E21)</f>
        <v/>
      </c>
      <c r="M21" s="465">
        <f>IF(E21="","",L21*G21)</f>
        <v/>
      </c>
      <c r="N21" s="477">
        <f>IF(OR(E21="",A21&lt;=7),"-",IF(INDEX(H:H,ROW()-7)=0,"-",TEXT((H21-INDEX(H:H,ROW()-7))/ABS(INDEX(H:H,ROW()-7)),"+0%;-0%")))</f>
        <v/>
      </c>
      <c r="O21" s="466">
        <f>IF($A21&lt;=$S$6,SUM($H$6:H21),0)</f>
        <v/>
      </c>
      <c r="P21" s="462">
        <f>IF($S$6&gt;0,$D$4/$S$6*16,"")</f>
        <v/>
      </c>
      <c r="Q21" s="467">
        <f>O21-P21</f>
        <v/>
      </c>
      <c r="R21" s="468">
        <f>IF(E21="","",IF(Q21&gt;=0,"🟢",IF(Q21&gt;=-50000,"🟡","🔴")))</f>
        <v/>
      </c>
      <c r="S21" s="469">
        <f>$S$6-16</f>
        <v/>
      </c>
      <c r="T21" s="462">
        <f>IF(E21&lt;&gt;"",D$4-O21,"")</f>
        <v/>
      </c>
      <c r="U21" s="470">
        <f>IF(AND(E21&lt;&gt;"",S21&gt;0),T21/(S21*85),"")</f>
        <v/>
      </c>
      <c r="V21" s="471">
        <f>IF(E21="","",IF(S21=0,"✅ Completado",IF(U21&lt;800,"🟢 Alcanzable",IF(U21&lt;=900,"🟡 Difícil","🔴 Muy difícil"))))</f>
        <v/>
      </c>
      <c r="W21" s="472">
        <f>IF(E21="","",IF(A21=0,"",O21/A21*$S$6))</f>
        <v/>
      </c>
      <c r="X21" s="473">
        <f>IF(E21="","",W21-$D$4)</f>
        <v/>
      </c>
      <c r="Y21" s="474">
        <f>IF(E21="","",IF(S21=0,"✅ Completado",IF(T21&lt;=0,"✅ Meta alcanzada",ROUNDUP(T21/(S21*G21),0)-E21)))</f>
        <v/>
      </c>
      <c r="Z21" s="462">
        <f>IF(E21="","",IF(S21=0,"-",IF(T21&lt;=0,"-",T21/(S21*85))))</f>
        <v/>
      </c>
    </row>
    <row r="22" ht="18.75" customHeight="1">
      <c r="A22" s="482" t="n">
        <v>17</v>
      </c>
      <c r="B22" s="423">
        <f>IF($A22&lt;=$S$6,DATE($S$4,VALUE(LEFT($S$3,FIND("-",$S$3)-1)),$A22),"")</f>
        <v/>
      </c>
      <c r="C22" s="458">
        <f>IF(B22="","",TEXT(B22,"ddd"))</f>
        <v/>
      </c>
      <c r="D22" s="424" t="n">
        <v>85</v>
      </c>
      <c r="E22" s="509" t="n">
        <v>85</v>
      </c>
      <c r="F22" s="460" t="n">
        <v>762</v>
      </c>
      <c r="G22" s="510" t="n">
        <v>800</v>
      </c>
      <c r="H22" s="462">
        <f>IF($A22&lt;=$S$6,IFERROR(E22*G22,0),0)</f>
        <v/>
      </c>
      <c r="I22" s="462">
        <f>F22*(D22/100)</f>
        <v/>
      </c>
      <c r="J22" s="462">
        <f>IF(E22="","",G22*(E22/100))</f>
        <v/>
      </c>
      <c r="K22" s="463">
        <f>IF(E22="","",J22/I22)</f>
        <v/>
      </c>
      <c r="L22" s="464">
        <f>IF(E22="","",85-E22)</f>
        <v/>
      </c>
      <c r="M22" s="465">
        <f>IF(E22="","",L22*G22)</f>
        <v/>
      </c>
      <c r="N22" s="477">
        <f>IF(OR(E22="",A22&lt;=7),"-",IF(INDEX(H:H,ROW()-7)=0,"-",TEXT((H22-INDEX(H:H,ROW()-7))/ABS(INDEX(H:H,ROW()-7)),"+0%;-0%")))</f>
        <v/>
      </c>
      <c r="O22" s="466">
        <f>IF($A22&lt;=$S$6,SUM($H$6:H22),0)</f>
        <v/>
      </c>
      <c r="P22" s="462">
        <f>IF($S$6&gt;0,$D$4/$S$6*17,"")</f>
        <v/>
      </c>
      <c r="Q22" s="467">
        <f>O22-P22</f>
        <v/>
      </c>
      <c r="R22" s="468">
        <f>IF(E22="","",IF(Q22&gt;=0,"🟢",IF(Q22&gt;=-50000,"🟡","🔴")))</f>
        <v/>
      </c>
      <c r="S22" s="469">
        <f>$S$6-17</f>
        <v/>
      </c>
      <c r="T22" s="462">
        <f>IF(E22&lt;&gt;"",D$4-O22,"")</f>
        <v/>
      </c>
      <c r="U22" s="470">
        <f>IF(AND(E22&lt;&gt;"",S22&gt;0),T22/(S22*85),"")</f>
        <v/>
      </c>
      <c r="V22" s="471">
        <f>IF(E22="","",IF(S22=0,"✅ Completado",IF(U22&lt;800,"🟢 Alcanzable",IF(U22&lt;=900,"🟡 Difícil","🔴 Muy difícil"))))</f>
        <v/>
      </c>
      <c r="W22" s="472">
        <f>IF(E22="","",IF(A22=0,"",O22/A22*$S$6))</f>
        <v/>
      </c>
      <c r="X22" s="473">
        <f>IF(E22="","",W22-$D$4)</f>
        <v/>
      </c>
      <c r="Y22" s="474">
        <f>IF(E22="","",IF(S22=0,"✅ Completado",IF(T22&lt;=0,"✅ Meta alcanzada",ROUNDUP(T22/(S22*G22),0)-E22)))</f>
        <v/>
      </c>
      <c r="Z22" s="462">
        <f>IF(E22="","",IF(S22=0,"-",IF(T22&lt;=0,"-",T22/(S22*85))))</f>
        <v/>
      </c>
    </row>
    <row r="23" ht="18.75" customHeight="1">
      <c r="A23" s="483" t="n">
        <v>18</v>
      </c>
      <c r="B23" s="430">
        <f>IF($A23&lt;=$S$6,DATE($S$4,VALUE(LEFT($S$3,FIND("-",$S$3)-1)),$A23),"")</f>
        <v/>
      </c>
      <c r="C23" s="458">
        <f>IF(B23="","",TEXT(B23,"ddd"))</f>
        <v/>
      </c>
      <c r="D23" s="431" t="n">
        <v>85</v>
      </c>
      <c r="E23" s="509" t="n">
        <v>83</v>
      </c>
      <c r="F23" s="476" t="n">
        <v>762</v>
      </c>
      <c r="G23" s="510" t="n">
        <v>790</v>
      </c>
      <c r="H23" s="462">
        <f>IF($A23&lt;=$S$6,IFERROR(E23*G23,0),0)</f>
        <v/>
      </c>
      <c r="I23" s="462">
        <f>F23*(D23/100)</f>
        <v/>
      </c>
      <c r="J23" s="462">
        <f>IF(E23="","",G23*(E23/100))</f>
        <v/>
      </c>
      <c r="K23" s="463">
        <f>IF(E23="","",J23/I23)</f>
        <v/>
      </c>
      <c r="L23" s="464">
        <f>IF(E23="","",85-E23)</f>
        <v/>
      </c>
      <c r="M23" s="465">
        <f>IF(E23="","",L23*G23)</f>
        <v/>
      </c>
      <c r="N23" s="477">
        <f>IF(OR(E23="",A23&lt;=7),"-",IF(INDEX(H:H,ROW()-7)=0,"-",TEXT((H23-INDEX(H:H,ROW()-7))/ABS(INDEX(H:H,ROW()-7)),"+0%;-0%")))</f>
        <v/>
      </c>
      <c r="O23" s="466">
        <f>IF($A23&lt;=$S$6,SUM($H$6:H23),0)</f>
        <v/>
      </c>
      <c r="P23" s="462">
        <f>IF($S$6&gt;0,$D$4/$S$6*18,"")</f>
        <v/>
      </c>
      <c r="Q23" s="467">
        <f>O23-P23</f>
        <v/>
      </c>
      <c r="R23" s="468">
        <f>IF(E23="","",IF(Q23&gt;=0,"🟢",IF(Q23&gt;=-50000,"🟡","🔴")))</f>
        <v/>
      </c>
      <c r="S23" s="469">
        <f>$S$6-18</f>
        <v/>
      </c>
      <c r="T23" s="462">
        <f>IF(E23&lt;&gt;"",D$4-O23,"")</f>
        <v/>
      </c>
      <c r="U23" s="470">
        <f>IF(AND(E23&lt;&gt;"",S23&gt;0),T23/(S23*85),"")</f>
        <v/>
      </c>
      <c r="V23" s="471">
        <f>IF(E23="","",IF(S23=0,"✅ Completado",IF(U23&lt;800,"🟢 Alcanzable",IF(U23&lt;=900,"🟡 Difícil","🔴 Muy difícil"))))</f>
        <v/>
      </c>
      <c r="W23" s="472">
        <f>IF(E23="","",IF(A23=0,"",O23/A23*$S$6))</f>
        <v/>
      </c>
      <c r="X23" s="473">
        <f>IF(E23="","",W23-$D$4)</f>
        <v/>
      </c>
      <c r="Y23" s="474">
        <f>IF(E23="","",IF(S23=0,"✅ Completado",IF(T23&lt;=0,"✅ Meta alcanzada",ROUNDUP(T23/(S23*G23),0)-E23)))</f>
        <v/>
      </c>
      <c r="Z23" s="462">
        <f>IF(E23="","",IF(S23=0,"-",IF(T23&lt;=0,"-",T23/(S23*85))))</f>
        <v/>
      </c>
    </row>
    <row r="24" ht="18.75" customHeight="1">
      <c r="A24" s="482" t="n">
        <v>19</v>
      </c>
      <c r="B24" s="423">
        <f>IF($A24&lt;=$S$6,DATE($S$4,VALUE(LEFT($S$3,FIND("-",$S$3)-1)),$A24),"")</f>
        <v/>
      </c>
      <c r="C24" s="458">
        <f>IF(B24="","",TEXT(B24,"ddd"))</f>
        <v/>
      </c>
      <c r="D24" s="424" t="n">
        <v>85</v>
      </c>
      <c r="E24" s="509" t="n">
        <v>87</v>
      </c>
      <c r="F24" s="460" t="n">
        <v>762</v>
      </c>
      <c r="G24" s="510" t="n">
        <v>810</v>
      </c>
      <c r="H24" s="462">
        <f>IF($A24&lt;=$S$6,IFERROR(E24*G24,0),0)</f>
        <v/>
      </c>
      <c r="I24" s="462">
        <f>F24*(D24/100)</f>
        <v/>
      </c>
      <c r="J24" s="462">
        <f>IF(E24="","",G24*(E24/100))</f>
        <v/>
      </c>
      <c r="K24" s="463">
        <f>IF(E24="","",J24/I24)</f>
        <v/>
      </c>
      <c r="L24" s="464">
        <f>IF(E24="","",85-E24)</f>
        <v/>
      </c>
      <c r="M24" s="465">
        <f>IF(E24="","",L24*G24)</f>
        <v/>
      </c>
      <c r="N24" s="477">
        <f>IF(OR(E24="",A24&lt;=7),"-",IF(INDEX(H:H,ROW()-7)=0,"-",TEXT((H24-INDEX(H:H,ROW()-7))/ABS(INDEX(H:H,ROW()-7)),"+0%;-0%")))</f>
        <v/>
      </c>
      <c r="O24" s="466">
        <f>IF($A24&lt;=$S$6,SUM($H$6:H24),0)</f>
        <v/>
      </c>
      <c r="P24" s="462">
        <f>IF($S$6&gt;0,$D$4/$S$6*19,"")</f>
        <v/>
      </c>
      <c r="Q24" s="467">
        <f>O24-P24</f>
        <v/>
      </c>
      <c r="R24" s="468">
        <f>IF(E24="","",IF(Q24&gt;=0,"🟢",IF(Q24&gt;=-50000,"🟡","🔴")))</f>
        <v/>
      </c>
      <c r="S24" s="469">
        <f>$S$6-19</f>
        <v/>
      </c>
      <c r="T24" s="462">
        <f>IF(E24&lt;&gt;"",D$4-O24,"")</f>
        <v/>
      </c>
      <c r="U24" s="470">
        <f>IF(AND(E24&lt;&gt;"",S24&gt;0),T24/(S24*85),"")</f>
        <v/>
      </c>
      <c r="V24" s="471">
        <f>IF(E24="","",IF(S24=0,"✅ Completado",IF(U24&lt;800,"🟢 Alcanzable",IF(U24&lt;=900,"🟡 Difícil","🔴 Muy difícil"))))</f>
        <v/>
      </c>
      <c r="W24" s="472">
        <f>IF(E24="","",IF(A24=0,"",O24/A24*$S$6))</f>
        <v/>
      </c>
      <c r="X24" s="473">
        <f>IF(E24="","",W24-$D$4)</f>
        <v/>
      </c>
      <c r="Y24" s="474">
        <f>IF(E24="","",IF(S24=0,"✅ Completado",IF(T24&lt;=0,"✅ Meta alcanzada",ROUNDUP(T24/(S24*G24),0)-E24)))</f>
        <v/>
      </c>
      <c r="Z24" s="462">
        <f>IF(E24="","",IF(S24=0,"-",IF(T24&lt;=0,"-",T24/(S24*85))))</f>
        <v/>
      </c>
    </row>
    <row r="25" ht="18.75" customHeight="1">
      <c r="A25" s="483" t="n">
        <v>20</v>
      </c>
      <c r="B25" s="430">
        <f>IF($A25&lt;=$S$6,DATE($S$4,VALUE(LEFT($S$3,FIND("-",$S$3)-1)),$A25),"")</f>
        <v/>
      </c>
      <c r="C25" s="458">
        <f>IF(B25="","",TEXT(B25,"ddd"))</f>
        <v/>
      </c>
      <c r="D25" s="431" t="n">
        <v>85</v>
      </c>
      <c r="E25" s="509" t="n">
        <v>85</v>
      </c>
      <c r="F25" s="476" t="n">
        <v>762</v>
      </c>
      <c r="G25" s="510" t="n">
        <v>830</v>
      </c>
      <c r="H25" s="462">
        <f>IF($A25&lt;=$S$6,IFERROR(E25*G25,0),0)</f>
        <v/>
      </c>
      <c r="I25" s="462">
        <f>F25*(D25/100)</f>
        <v/>
      </c>
      <c r="J25" s="462">
        <f>IF(E25="","",G25*(E25/100))</f>
        <v/>
      </c>
      <c r="K25" s="463">
        <f>IF(E25="","",J25/I25)</f>
        <v/>
      </c>
      <c r="L25" s="464">
        <f>IF(E25="","",85-E25)</f>
        <v/>
      </c>
      <c r="M25" s="465">
        <f>IF(E25="","",L25*G25)</f>
        <v/>
      </c>
      <c r="N25" s="477">
        <f>IF(OR(E25="",A25&lt;=7),"-",IF(INDEX(H:H,ROW()-7)=0,"-",TEXT((H25-INDEX(H:H,ROW()-7))/ABS(INDEX(H:H,ROW()-7)),"+0%;-0%")))</f>
        <v/>
      </c>
      <c r="O25" s="466">
        <f>IF($A25&lt;=$S$6,SUM($H$6:H25),0)</f>
        <v/>
      </c>
      <c r="P25" s="462">
        <f>IF($S$6&gt;0,$D$4/$S$6*20,"")</f>
        <v/>
      </c>
      <c r="Q25" s="467">
        <f>O25-P25</f>
        <v/>
      </c>
      <c r="R25" s="468">
        <f>IF(E25="","",IF(Q25&gt;=0,"🟢",IF(Q25&gt;=-50000,"🟡","🔴")))</f>
        <v/>
      </c>
      <c r="S25" s="469">
        <f>$S$6-20</f>
        <v/>
      </c>
      <c r="T25" s="462">
        <f>IF(E25&lt;&gt;"",D$4-O25,"")</f>
        <v/>
      </c>
      <c r="U25" s="470">
        <f>IF(AND(E25&lt;&gt;"",S25&gt;0),T25/(S25*85),"")</f>
        <v/>
      </c>
      <c r="V25" s="471">
        <f>IF(E25="","",IF(S25=0,"✅ Completado",IF(U25&lt;800,"🟢 Alcanzable",IF(U25&lt;=900,"🟡 Difícil","🔴 Muy difícil"))))</f>
        <v/>
      </c>
      <c r="W25" s="472">
        <f>IF(E25="","",IF(A25=0,"",O25/A25*$S$6))</f>
        <v/>
      </c>
      <c r="X25" s="473">
        <f>IF(E25="","",W25-$D$4)</f>
        <v/>
      </c>
      <c r="Y25" s="474">
        <f>IF(E25="","",IF(S25=0,"✅ Completado",IF(T25&lt;=0,"✅ Meta alcanzada",ROUNDUP(T25/(S25*G25),0)-E25)))</f>
        <v/>
      </c>
      <c r="Z25" s="462">
        <f>IF(E25="","",IF(S25=0,"-",IF(T25&lt;=0,"-",T25/(S25*85))))</f>
        <v/>
      </c>
    </row>
    <row r="26" ht="18.75" customHeight="1">
      <c r="A26" s="482" t="n">
        <v>21</v>
      </c>
      <c r="B26" s="423">
        <f>IF($A26&lt;=$S$6,DATE($S$4,VALUE(LEFT($S$3,FIND("-",$S$3)-1)),$A26),"")</f>
        <v/>
      </c>
      <c r="C26" s="458">
        <f>IF(B26="","",TEXT(B26,"ddd"))</f>
        <v/>
      </c>
      <c r="D26" s="424" t="n">
        <v>85</v>
      </c>
      <c r="E26" s="509" t="n">
        <v>85</v>
      </c>
      <c r="F26" s="460" t="n">
        <v>762</v>
      </c>
      <c r="G26" s="510" t="n">
        <v>880</v>
      </c>
      <c r="H26" s="462">
        <f>IF($A26&lt;=$S$6,IFERROR(E26*G26,0),0)</f>
        <v/>
      </c>
      <c r="I26" s="462">
        <f>F26*(D26/100)</f>
        <v/>
      </c>
      <c r="J26" s="462">
        <f>IF(E26="","",G26*(E26/100))</f>
        <v/>
      </c>
      <c r="K26" s="463">
        <f>IF(E26="","",J26/I26)</f>
        <v/>
      </c>
      <c r="L26" s="464">
        <f>IF(E26="","",85-E26)</f>
        <v/>
      </c>
      <c r="M26" s="465">
        <f>IF(E26="","",L26*G26)</f>
        <v/>
      </c>
      <c r="N26" s="477">
        <f>IF(OR(E26="",A26&lt;=7),"-",IF(INDEX(H:H,ROW()-7)=0,"-",TEXT((H26-INDEX(H:H,ROW()-7))/ABS(INDEX(H:H,ROW()-7)),"+0%;-0%")))</f>
        <v/>
      </c>
      <c r="O26" s="466">
        <f>IF($A26&lt;=$S$6,SUM($H$6:H26),0)</f>
        <v/>
      </c>
      <c r="P26" s="462">
        <f>IF($S$6&gt;0,$D$4/$S$6*21,"")</f>
        <v/>
      </c>
      <c r="Q26" s="467">
        <f>O26-P26</f>
        <v/>
      </c>
      <c r="R26" s="468">
        <f>IF(E26="","",IF(Q26&gt;=0,"🟢",IF(Q26&gt;=-50000,"🟡","🔴")))</f>
        <v/>
      </c>
      <c r="S26" s="469">
        <f>$S$6-21</f>
        <v/>
      </c>
      <c r="T26" s="462">
        <f>IF(E26&lt;&gt;"",D$4-O26,"")</f>
        <v/>
      </c>
      <c r="U26" s="470">
        <f>IF(AND(E26&lt;&gt;"",S26&gt;0),T26/(S26*85),"")</f>
        <v/>
      </c>
      <c r="V26" s="471">
        <f>IF(E26="","",IF(S26=0,"✅ Completado",IF(U26&lt;800,"🟢 Alcanzable",IF(U26&lt;=900,"🟡 Difícil","🔴 Muy difícil"))))</f>
        <v/>
      </c>
      <c r="W26" s="472">
        <f>IF(E26="","",IF(A26=0,"",O26/A26*$S$6))</f>
        <v/>
      </c>
      <c r="X26" s="473">
        <f>IF(E26="","",W26-$D$4)</f>
        <v/>
      </c>
      <c r="Y26" s="474">
        <f>IF(E26="","",IF(S26=0,"✅ Completado",IF(T26&lt;=0,"✅ Meta alcanzada",ROUNDUP(T26/(S26*G26),0)-E26)))</f>
        <v/>
      </c>
      <c r="Z26" s="462">
        <f>IF(E26="","",IF(S26=0,"-",IF(T26&lt;=0,"-",T26/(S26*85))))</f>
        <v/>
      </c>
    </row>
    <row r="27" ht="18.75" customHeight="1">
      <c r="A27" s="483" t="n">
        <v>22</v>
      </c>
      <c r="B27" s="430">
        <f>IF($A27&lt;=$S$6,DATE($S$4,VALUE(LEFT($S$3,FIND("-",$S$3)-1)),$A27),"")</f>
        <v/>
      </c>
      <c r="C27" s="458">
        <f>IF(B27="","",TEXT(B27,"ddd"))</f>
        <v/>
      </c>
      <c r="D27" s="431" t="n">
        <v>77</v>
      </c>
      <c r="E27" s="509" t="n">
        <v>75</v>
      </c>
      <c r="F27" s="476" t="n">
        <v>762</v>
      </c>
      <c r="G27" s="510" t="n">
        <v>770</v>
      </c>
      <c r="H27" s="462">
        <f>IF($A27&lt;=$S$6,IFERROR(E27*G27,0),0)</f>
        <v/>
      </c>
      <c r="I27" s="462">
        <f>F27*(D27/100)</f>
        <v/>
      </c>
      <c r="J27" s="462">
        <f>IF(E27="","",G27*(E27/100))</f>
        <v/>
      </c>
      <c r="K27" s="463">
        <f>IF(E27="","",J27/I27)</f>
        <v/>
      </c>
      <c r="L27" s="464">
        <f>IF(E27="","",85-E27)</f>
        <v/>
      </c>
      <c r="M27" s="465">
        <f>IF(E27="","",L27*G27)</f>
        <v/>
      </c>
      <c r="N27" s="477">
        <f>IF(OR(E27="",A27&lt;=7),"-",IF(INDEX(H:H,ROW()-7)=0,"-",TEXT((H27-INDEX(H:H,ROW()-7))/ABS(INDEX(H:H,ROW()-7)),"+0%;-0%")))</f>
        <v/>
      </c>
      <c r="O27" s="466">
        <f>IF($A27&lt;=$S$6,SUM($H$6:H27),0)</f>
        <v/>
      </c>
      <c r="P27" s="462">
        <f>IF($S$6&gt;0,$D$4/$S$6*22,"")</f>
        <v/>
      </c>
      <c r="Q27" s="467">
        <f>O27-P27</f>
        <v/>
      </c>
      <c r="R27" s="468">
        <f>IF(E27="","",IF(Q27&gt;=0,"🟢",IF(Q27&gt;=-50000,"🟡","🔴")))</f>
        <v/>
      </c>
      <c r="S27" s="469">
        <f>$S$6-22</f>
        <v/>
      </c>
      <c r="T27" s="462">
        <f>IF(E27&lt;&gt;"",D$4-O27,"")</f>
        <v/>
      </c>
      <c r="U27" s="470">
        <f>IF(AND(E27&lt;&gt;"",S27&gt;0),T27/(S27*85),"")</f>
        <v/>
      </c>
      <c r="V27" s="471">
        <f>IF(E27="","",IF(S27=0,"✅ Completado",IF(U27&lt;800,"🟢 Alcanzable",IF(U27&lt;=900,"🟡 Difícil","🔴 Muy difícil"))))</f>
        <v/>
      </c>
      <c r="W27" s="472">
        <f>IF(E27="","",IF(A27=0,"",O27/A27*$S$6))</f>
        <v/>
      </c>
      <c r="X27" s="473">
        <f>IF(E27="","",W27-$D$4)</f>
        <v/>
      </c>
      <c r="Y27" s="474">
        <f>IF(E27="","",IF(S27=0,"✅ Completado",IF(T27&lt;=0,"✅ Meta alcanzada",ROUNDUP(T27/(S27*G27),0)-E27)))</f>
        <v/>
      </c>
      <c r="Z27" s="462">
        <f>IF(E27="","",IF(S27=0,"-",IF(T27&lt;=0,"-",T27/(S27*85))))</f>
        <v/>
      </c>
    </row>
    <row r="28" ht="18.75" customHeight="1">
      <c r="A28" s="482" t="n">
        <v>23</v>
      </c>
      <c r="B28" s="423">
        <f>IF($A28&lt;=$S$6,DATE($S$4,VALUE(LEFT($S$3,FIND("-",$S$3)-1)),$A28),"")</f>
        <v/>
      </c>
      <c r="C28" s="458">
        <f>IF(B28="","",TEXT(B28,"ddd"))</f>
        <v/>
      </c>
      <c r="D28" s="424" t="n">
        <v>78</v>
      </c>
      <c r="E28" s="509" t="n">
        <v>82</v>
      </c>
      <c r="F28" s="460" t="n">
        <v>762</v>
      </c>
      <c r="G28" s="510" t="n">
        <v>790</v>
      </c>
      <c r="H28" s="462">
        <f>IF($A28&lt;=$S$6,IFERROR(E28*G28,0),0)</f>
        <v/>
      </c>
      <c r="I28" s="462">
        <f>F28*(D28/100)</f>
        <v/>
      </c>
      <c r="J28" s="462">
        <f>IF(E28="","",G28*(E28/100))</f>
        <v/>
      </c>
      <c r="K28" s="463">
        <f>IF(E28="","",J28/I28)</f>
        <v/>
      </c>
      <c r="L28" s="464">
        <f>IF(E28="","",85-E28)</f>
        <v/>
      </c>
      <c r="M28" s="465">
        <f>IF(E28="","",L28*G28)</f>
        <v/>
      </c>
      <c r="N28" s="477">
        <f>IF(OR(E28="",A28&lt;=7),"-",IF(INDEX(H:H,ROW()-7)=0,"-",TEXT((H28-INDEX(H:H,ROW()-7))/ABS(INDEX(H:H,ROW()-7)),"+0%;-0%")))</f>
        <v/>
      </c>
      <c r="O28" s="466">
        <f>IF($A28&lt;=$S$6,SUM($H$6:H28),0)</f>
        <v/>
      </c>
      <c r="P28" s="462">
        <f>IF($S$6&gt;0,$D$4/$S$6*23,"")</f>
        <v/>
      </c>
      <c r="Q28" s="467">
        <f>O28-P28</f>
        <v/>
      </c>
      <c r="R28" s="468">
        <f>IF(E28="","",IF(Q28&gt;=0,"🟢",IF(Q28&gt;=-50000,"🟡","🔴")))</f>
        <v/>
      </c>
      <c r="S28" s="469">
        <f>$S$6-23</f>
        <v/>
      </c>
      <c r="T28" s="462">
        <f>IF(E28&lt;&gt;"",D$4-O28,"")</f>
        <v/>
      </c>
      <c r="U28" s="470">
        <f>IF(AND(E28&lt;&gt;"",S28&gt;0),T28/(S28*85),"")</f>
        <v/>
      </c>
      <c r="V28" s="471">
        <f>IF(E28="","",IF(S28=0,"✅ Completado",IF(U28&lt;800,"🟢 Alcanzable",IF(U28&lt;=900,"🟡 Difícil","🔴 Muy difícil"))))</f>
        <v/>
      </c>
      <c r="W28" s="472">
        <f>IF(E28="","",IF(A28=0,"",O28/A28*$S$6))</f>
        <v/>
      </c>
      <c r="X28" s="473">
        <f>IF(E28="","",W28-$D$4)</f>
        <v/>
      </c>
      <c r="Y28" s="474">
        <f>IF(E28="","",IF(S28=0,"✅ Completado",IF(T28&lt;=0,"✅ Meta alcanzada",ROUNDUP(T28/(S28*G28),0)-E28)))</f>
        <v/>
      </c>
      <c r="Z28" s="462">
        <f>IF(E28="","",IF(S28=0,"-",IF(T28&lt;=0,"-",T28/(S28*85))))</f>
        <v/>
      </c>
    </row>
    <row r="29" ht="18.75" customHeight="1">
      <c r="A29" s="483" t="n">
        <v>24</v>
      </c>
      <c r="B29" s="430">
        <f>IF($A29&lt;=$S$6,DATE($S$4,VALUE(LEFT($S$3,FIND("-",$S$3)-1)),$A29),"")</f>
        <v/>
      </c>
      <c r="C29" s="458">
        <f>IF(B29="","",TEXT(B29,"ddd"))</f>
        <v/>
      </c>
      <c r="D29" s="431" t="n">
        <v>81</v>
      </c>
      <c r="E29" s="509" t="n">
        <v>84</v>
      </c>
      <c r="F29" s="476" t="n">
        <v>762</v>
      </c>
      <c r="G29" s="510" t="n">
        <v>810</v>
      </c>
      <c r="H29" s="462">
        <f>IF($A29&lt;=$S$6,IFERROR(E29*G29,0),0)</f>
        <v/>
      </c>
      <c r="I29" s="462">
        <f>F29*(D29/100)</f>
        <v/>
      </c>
      <c r="J29" s="462">
        <f>IF(E29="","",G29*(E29/100))</f>
        <v/>
      </c>
      <c r="K29" s="463">
        <f>IF(E29="","",J29/I29)</f>
        <v/>
      </c>
      <c r="L29" s="464">
        <f>IF(E29="","",85-E29)</f>
        <v/>
      </c>
      <c r="M29" s="465">
        <f>IF(E29="","",L29*G29)</f>
        <v/>
      </c>
      <c r="N29" s="477">
        <f>IF(OR(E29="",A29&lt;=7),"-",IF(INDEX(H:H,ROW()-7)=0,"-",TEXT((H29-INDEX(H:H,ROW()-7))/ABS(INDEX(H:H,ROW()-7)),"+0%;-0%")))</f>
        <v/>
      </c>
      <c r="O29" s="466">
        <f>IF($A29&lt;=$S$6,SUM($H$6:H29),0)</f>
        <v/>
      </c>
      <c r="P29" s="462">
        <f>IF($S$6&gt;0,$D$4/$S$6*24,"")</f>
        <v/>
      </c>
      <c r="Q29" s="467">
        <f>O29-P29</f>
        <v/>
      </c>
      <c r="R29" s="468">
        <f>IF(E29="","",IF(Q29&gt;=0,"🟢",IF(Q29&gt;=-50000,"🟡","🔴")))</f>
        <v/>
      </c>
      <c r="S29" s="469">
        <f>$S$6-24</f>
        <v/>
      </c>
      <c r="T29" s="462">
        <f>IF(E29&lt;&gt;"",D$4-O29,"")</f>
        <v/>
      </c>
      <c r="U29" s="470">
        <f>IF(AND(E29&lt;&gt;"",S29&gt;0),T29/(S29*85),"")</f>
        <v/>
      </c>
      <c r="V29" s="471">
        <f>IF(E29="","",IF(S29=0,"✅ Completado",IF(U29&lt;800,"🟢 Alcanzable",IF(U29&lt;=900,"🟡 Difícil","🔴 Muy difícil"))))</f>
        <v/>
      </c>
      <c r="W29" s="472">
        <f>IF(E29="","",IF(A29=0,"",O29/A29*$S$6))</f>
        <v/>
      </c>
      <c r="X29" s="473">
        <f>IF(E29="","",W29-$D$4)</f>
        <v/>
      </c>
      <c r="Y29" s="474">
        <f>IF(E29="","",IF(S29=0,"✅ Completado",IF(T29&lt;=0,"✅ Meta alcanzada",ROUNDUP(T29/(S29*G29),0)-E29)))</f>
        <v/>
      </c>
      <c r="Z29" s="462">
        <f>IF(E29="","",IF(S29=0,"-",IF(T29&lt;=0,"-",T29/(S29*85))))</f>
        <v/>
      </c>
    </row>
    <row r="30" ht="18.75" customHeight="1">
      <c r="A30" s="482" t="n">
        <v>25</v>
      </c>
      <c r="B30" s="423">
        <f>IF($A30&lt;=$S$6,DATE($S$4,VALUE(LEFT($S$3,FIND("-",$S$3)-1)),$A30),"")</f>
        <v/>
      </c>
      <c r="C30" s="458">
        <f>IF(B30="","",TEXT(B30,"ddd"))</f>
        <v/>
      </c>
      <c r="D30" s="424" t="n">
        <v>81</v>
      </c>
      <c r="E30" s="509" t="n">
        <v>85</v>
      </c>
      <c r="F30" s="460" t="n">
        <v>762</v>
      </c>
      <c r="G30" s="510" t="n">
        <v>800</v>
      </c>
      <c r="H30" s="462">
        <f>IF($A30&lt;=$S$6,IFERROR(E30*G30,0),0)</f>
        <v/>
      </c>
      <c r="I30" s="462">
        <f>F30*(D30/100)</f>
        <v/>
      </c>
      <c r="J30" s="462">
        <f>IF(E30="","",G30*(E30/100))</f>
        <v/>
      </c>
      <c r="K30" s="463">
        <f>IF(E30="","",J30/I30)</f>
        <v/>
      </c>
      <c r="L30" s="464">
        <f>IF(E30="","",85-E30)</f>
        <v/>
      </c>
      <c r="M30" s="465">
        <f>IF(E30="","",L30*G30)</f>
        <v/>
      </c>
      <c r="N30" s="477">
        <f>IF(OR(E30="",A30&lt;=7),"-",IF(INDEX(H:H,ROW()-7)=0,"-",TEXT((H30-INDEX(H:H,ROW()-7))/ABS(INDEX(H:H,ROW()-7)),"+0%;-0%")))</f>
        <v/>
      </c>
      <c r="O30" s="466">
        <f>IF($A30&lt;=$S$6,SUM($H$6:H30),0)</f>
        <v/>
      </c>
      <c r="P30" s="462">
        <f>IF($S$6&gt;0,$D$4/$S$6*25,"")</f>
        <v/>
      </c>
      <c r="Q30" s="467">
        <f>O30-P30</f>
        <v/>
      </c>
      <c r="R30" s="468">
        <f>IF(E30="","",IF(Q30&gt;=0,"🟢",IF(Q30&gt;=-50000,"🟡","🔴")))</f>
        <v/>
      </c>
      <c r="S30" s="469">
        <f>$S$6-25</f>
        <v/>
      </c>
      <c r="T30" s="462">
        <f>IF(E30&lt;&gt;"",D$4-O30,"")</f>
        <v/>
      </c>
      <c r="U30" s="470">
        <f>IF(AND(E30&lt;&gt;"",S30&gt;0),T30/(S30*85),"")</f>
        <v/>
      </c>
      <c r="V30" s="471">
        <f>IF(E30="","",IF(S30=0,"✅ Completado",IF(U30&lt;800,"🟢 Alcanzable",IF(U30&lt;=900,"🟡 Difícil","🔴 Muy difícil"))))</f>
        <v/>
      </c>
      <c r="W30" s="472">
        <f>IF(E30="","",IF(A30=0,"",O30/A30*$S$6))</f>
        <v/>
      </c>
      <c r="X30" s="473">
        <f>IF(E30="","",W30-$D$4)</f>
        <v/>
      </c>
      <c r="Y30" s="474">
        <f>IF(E30="","",IF(S30=0,"✅ Completado",IF(T30&lt;=0,"✅ Meta alcanzada",ROUNDUP(T30/(S30*G30),0)-E30)))</f>
        <v/>
      </c>
      <c r="Z30" s="462">
        <f>IF(E30="","",IF(S30=0,"-",IF(T30&lt;=0,"-",T30/(S30*85))))</f>
        <v/>
      </c>
    </row>
    <row r="31" ht="18.75" customHeight="1">
      <c r="A31" s="483" t="n">
        <v>26</v>
      </c>
      <c r="B31" s="430">
        <f>IF($A31&lt;=$S$6,DATE($S$4,VALUE(LEFT($S$3,FIND("-",$S$3)-1)),$A31),"")</f>
        <v/>
      </c>
      <c r="C31" s="458">
        <f>IF(B31="","",TEXT(B31,"ddd"))</f>
        <v/>
      </c>
      <c r="D31" s="431" t="n">
        <v>85</v>
      </c>
      <c r="E31" s="509" t="n">
        <v>85</v>
      </c>
      <c r="F31" s="476" t="n">
        <v>762</v>
      </c>
      <c r="G31" s="510" t="n">
        <v>820</v>
      </c>
      <c r="H31" s="462">
        <f>IF($A31&lt;=$S$6,IFERROR(E31*G31,0),0)</f>
        <v/>
      </c>
      <c r="I31" s="462">
        <f>F31*(D31/100)</f>
        <v/>
      </c>
      <c r="J31" s="462">
        <f>IF(E31="","",G31*(E31/100))</f>
        <v/>
      </c>
      <c r="K31" s="463">
        <f>IF(E31="","",J31/I31)</f>
        <v/>
      </c>
      <c r="L31" s="464">
        <f>IF(E31="","",85-E31)</f>
        <v/>
      </c>
      <c r="M31" s="465">
        <f>IF(E31="","",L31*G31)</f>
        <v/>
      </c>
      <c r="N31" s="477">
        <f>IF(OR(E31="",A31&lt;=7),"-",IF(INDEX(H:H,ROW()-7)=0,"-",TEXT((H31-INDEX(H:H,ROW()-7))/ABS(INDEX(H:H,ROW()-7)),"+0%;-0%")))</f>
        <v/>
      </c>
      <c r="O31" s="466">
        <f>IF($A31&lt;=$S$6,SUM($H$6:H31),0)</f>
        <v/>
      </c>
      <c r="P31" s="462">
        <f>IF($S$6&gt;0,$D$4/$S$6*26,"")</f>
        <v/>
      </c>
      <c r="Q31" s="467">
        <f>O31-P31</f>
        <v/>
      </c>
      <c r="R31" s="468">
        <f>IF(E31="","",IF(Q31&gt;=0,"🟢",IF(Q31&gt;=-50000,"🟡","🔴")))</f>
        <v/>
      </c>
      <c r="S31" s="469">
        <f>$S$6-26</f>
        <v/>
      </c>
      <c r="T31" s="462">
        <f>IF(E31&lt;&gt;"",D$4-O31,"")</f>
        <v/>
      </c>
      <c r="U31" s="470">
        <f>IF(AND(E31&lt;&gt;"",S31&gt;0),T31/(S31*85),"")</f>
        <v/>
      </c>
      <c r="V31" s="471">
        <f>IF(E31="","",IF(S31=0,"✅ Completado",IF(U31&lt;800,"🟢 Alcanzable",IF(U31&lt;=900,"🟡 Difícil","🔴 Muy difícil"))))</f>
        <v/>
      </c>
      <c r="W31" s="472">
        <f>IF(E31="","",IF(A31=0,"",O31/A31*$S$6))</f>
        <v/>
      </c>
      <c r="X31" s="473">
        <f>IF(E31="","",W31-$D$4)</f>
        <v/>
      </c>
      <c r="Y31" s="474">
        <f>IF(E31="","",IF(S31=0,"✅ Completado",IF(T31&lt;=0,"✅ Meta alcanzada",ROUNDUP(T31/(S31*G31),0)-E31)))</f>
        <v/>
      </c>
      <c r="Z31" s="462">
        <f>IF(E31="","",IF(S31=0,"-",IF(T31&lt;=0,"-",T31/(S31*85))))</f>
        <v/>
      </c>
    </row>
    <row r="32" ht="18.75" customHeight="1">
      <c r="A32" s="482" t="n">
        <v>27</v>
      </c>
      <c r="B32" s="423">
        <f>IF($A32&lt;=$S$6,DATE($S$4,VALUE(LEFT($S$3,FIND("-",$S$3)-1)),$A32),"")</f>
        <v/>
      </c>
      <c r="C32" s="458">
        <f>IF(B32="","",TEXT(B32,"ddd"))</f>
        <v/>
      </c>
      <c r="D32" s="424" t="n">
        <v>85</v>
      </c>
      <c r="E32" s="509" t="n">
        <v>88</v>
      </c>
      <c r="F32" s="460" t="n">
        <v>762</v>
      </c>
      <c r="G32" s="510" t="n">
        <v>850</v>
      </c>
      <c r="H32" s="462">
        <f>IF($A32&lt;=$S$6,IFERROR(E32*G32,0),0)</f>
        <v/>
      </c>
      <c r="I32" s="462">
        <f>F32*(D32/100)</f>
        <v/>
      </c>
      <c r="J32" s="462">
        <f>IF(E32="","",G32*(E32/100))</f>
        <v/>
      </c>
      <c r="K32" s="463">
        <f>IF(E32="","",J32/I32)</f>
        <v/>
      </c>
      <c r="L32" s="464">
        <f>IF(E32="","",85-E32)</f>
        <v/>
      </c>
      <c r="M32" s="465">
        <f>IF(E32="","",L32*G32)</f>
        <v/>
      </c>
      <c r="N32" s="477">
        <f>IF(OR(E32="",A32&lt;=7),"-",IF(INDEX(H:H,ROW()-7)=0,"-",TEXT((H32-INDEX(H:H,ROW()-7))/ABS(INDEX(H:H,ROW()-7)),"+0%;-0%")))</f>
        <v/>
      </c>
      <c r="O32" s="466">
        <f>IF($A32&lt;=$S$6,SUM($H$6:H32),0)</f>
        <v/>
      </c>
      <c r="P32" s="462">
        <f>IF($S$6&gt;0,$D$4/$S$6*27,"")</f>
        <v/>
      </c>
      <c r="Q32" s="467">
        <f>O32-P32</f>
        <v/>
      </c>
      <c r="R32" s="468">
        <f>IF(E32="","",IF(Q32&gt;=0,"🟢",IF(Q32&gt;=-50000,"🟡","🔴")))</f>
        <v/>
      </c>
      <c r="S32" s="469">
        <f>$S$6-27</f>
        <v/>
      </c>
      <c r="T32" s="462">
        <f>IF(E32&lt;&gt;"",D$4-O32,"")</f>
        <v/>
      </c>
      <c r="U32" s="470">
        <f>IF(AND(E32&lt;&gt;"",S32&gt;0),T32/(S32*85),"")</f>
        <v/>
      </c>
      <c r="V32" s="471">
        <f>IF(E32="","",IF(S32=0,"✅ Completado",IF(U32&lt;800,"🟢 Alcanzable",IF(U32&lt;=900,"🟡 Difícil","🔴 Muy difícil"))))</f>
        <v/>
      </c>
      <c r="W32" s="472">
        <f>IF(E32="","",IF(A32=0,"",O32/A32*$S$6))</f>
        <v/>
      </c>
      <c r="X32" s="473">
        <f>IF(E32="","",W32-$D$4)</f>
        <v/>
      </c>
      <c r="Y32" s="474">
        <f>IF(E32="","",IF(S32=0,"✅ Completado",IF(T32&lt;=0,"✅ Meta alcanzada",ROUNDUP(T32/(S32*G32),0)-E32)))</f>
        <v/>
      </c>
      <c r="Z32" s="462">
        <f>IF(E32="","",IF(S32=0,"-",IF(T32&lt;=0,"-",T32/(S32*85))))</f>
        <v/>
      </c>
    </row>
    <row r="33" ht="18.75" customHeight="1">
      <c r="A33" s="483" t="n">
        <v>28</v>
      </c>
      <c r="B33" s="430">
        <f>IF($A33&lt;=$S$6,DATE($S$4,VALUE(LEFT($S$3,FIND("-",$S$3)-1)),$A33),"")</f>
        <v/>
      </c>
      <c r="C33" s="458">
        <f>IF(B33="","",TEXT(B33,"ddd"))</f>
        <v/>
      </c>
      <c r="D33" s="431" t="n">
        <v>85</v>
      </c>
      <c r="E33" s="509" t="n">
        <v>85</v>
      </c>
      <c r="F33" s="476" t="n">
        <v>762</v>
      </c>
      <c r="G33" s="510" t="n">
        <v>900</v>
      </c>
      <c r="H33" s="462">
        <f>IF($A33&lt;=$S$6,IFERROR(E33*G33,0),0)</f>
        <v/>
      </c>
      <c r="I33" s="462">
        <f>IFERROR(F33*(D33/100),0)</f>
        <v/>
      </c>
      <c r="J33" s="462">
        <f>IFERROR(IF(E33="","",G33*(E33/100)),"")</f>
        <v/>
      </c>
      <c r="K33" s="463">
        <f>IFERROR(IF(E33="","",IF(I33&gt;0,J33/I33,0)),"")</f>
        <v/>
      </c>
      <c r="L33" s="464">
        <f>IF(E33="","",85-E33)</f>
        <v/>
      </c>
      <c r="M33" s="465">
        <f>IF(E33="","",L33*G33)</f>
        <v/>
      </c>
      <c r="N33" s="477">
        <f>IF(OR(E33="",A33&lt;=7),"-",IF(INDEX(H:H,ROW()-7)=0,"-",TEXT((H33-INDEX(H:H,ROW()-7))/ABS(INDEX(H:H,ROW()-7)),"+0%;-0%")))</f>
        <v/>
      </c>
      <c r="O33" s="466">
        <f>IF($A33&lt;=$S$6,SUM($H$6:H33),0)</f>
        <v/>
      </c>
      <c r="P33" s="462">
        <f>IFERROR(IF($S$6&gt;0,$D$4/$S$6*28,0),0)</f>
        <v/>
      </c>
      <c r="Q33" s="467">
        <f>O33-P33</f>
        <v/>
      </c>
      <c r="R33" s="468">
        <f>IF(E33="","",IF(Q33&gt;=0,"🟢",IF(Q33&gt;=-50000,"🟡","🔴")))</f>
        <v/>
      </c>
      <c r="S33" s="469">
        <f>$S$6-28</f>
        <v/>
      </c>
      <c r="T33" s="462">
        <f>IF(E33&lt;&gt;"",D$4-O33,"")</f>
        <v/>
      </c>
      <c r="U33" s="470">
        <f>IFERROR(IF(AND(E33&lt;&gt;"",S33&gt;0),T33/(S33*85),""),"")</f>
        <v/>
      </c>
      <c r="V33" s="471">
        <f>IF(E33="","",IF(S33=0,"✅ Completado",IF(U33&lt;800,"🟢 Alcanzable",IF(U33&lt;=900,"🟡 Difícil","🔴 Muy difícil"))))</f>
        <v/>
      </c>
      <c r="W33" s="472">
        <f>IFERROR(IF(E33="","",IF(A33=0,"",O33/A33*$S$6)),"")</f>
        <v/>
      </c>
      <c r="X33" s="473">
        <f>IF(E33="","",W33-$D$4)</f>
        <v/>
      </c>
      <c r="Y33" s="474">
        <f>IFERROR(IF(E33="","",IF(S33=0,"✅",IF(T33&lt;=0,"✅","-"))),"")</f>
        <v/>
      </c>
      <c r="Z33" s="462">
        <f>IFERROR(IF(E33="","",IF(S33=0,"-",IF(T33&lt;=0,"-",T33/(S33*85)))),"")</f>
        <v/>
      </c>
    </row>
    <row r="34">
      <c r="A34" s="482" t="n">
        <v>29</v>
      </c>
      <c r="B34" s="423">
        <f>IF($A34&lt;=$S$6,DATE($S$4,VALUE(LEFT($S$3,FIND("-",$S$3)-1)),$A34),"")</f>
        <v/>
      </c>
      <c r="C34" s="458">
        <f>IF(B34="","",TEXT(B34,"ddd"))</f>
        <v/>
      </c>
      <c r="D34" s="424" t="n">
        <v>0</v>
      </c>
      <c r="E34" s="530" t="n"/>
      <c r="F34" s="460" t="n">
        <v>0</v>
      </c>
      <c r="G34" s="531" t="n">
        <v>0</v>
      </c>
      <c r="H34" s="532">
        <f>IF($A34&lt;=$S$6,IFERROR(E34*G34,0),0)</f>
        <v/>
      </c>
      <c r="I34" s="532">
        <f>D34*F34</f>
        <v/>
      </c>
      <c r="J34" s="532">
        <f>IFERROR(IF(E34="","",G34*(E34/100)),"")</f>
        <v/>
      </c>
      <c r="K34" s="464">
        <f>IFERROR(IF(E34="","",E34-D34),"")</f>
        <v/>
      </c>
      <c r="L34" s="464">
        <f>IFERROR(IF(E34="","",85-E34),"")</f>
        <v/>
      </c>
      <c r="M34" s="465">
        <f>IFERROR(IF(E34="","",L34*G34),"")</f>
        <v/>
      </c>
      <c r="N34" s="460">
        <f>IF(OR(E34="",A34&lt;=7),"-",IF(INDEX(H:H,ROW()-7)=0,"-",TEXT((H34-INDEX(H:H,ROW()-7))/ABS(INDEX(H:H,ROW()-7)),"+0%;-0%")))</f>
        <v/>
      </c>
      <c r="O34" s="466">
        <f>IF($A34&lt;=$S$6,SUM($H$6:H34),0)</f>
        <v/>
      </c>
      <c r="P34" s="489">
        <f>IFERROR(IF($S$6&gt;0,$D$4/$S$6*29,0),0)</f>
        <v/>
      </c>
      <c r="Q34" s="467">
        <f>O34-P34</f>
        <v/>
      </c>
      <c r="R34" s="468">
        <f>IF(E34="","",IF(Q34&gt;=0,"🟢",IF(Q34&gt;=-50000,"🟡","🔴")))</f>
        <v/>
      </c>
      <c r="S34" s="518">
        <f>MAX(0,$S$6-29)</f>
        <v/>
      </c>
      <c r="T34" s="539">
        <f>IFERROR(IF(E34&lt;&gt;"",D$4-O34,""),"")</f>
        <v/>
      </c>
      <c r="U34" s="479">
        <f>IFERROR(IF(AND(E34&lt;&gt;"",S34&gt;0),T34/(S34*85),""),"")</f>
        <v/>
      </c>
      <c r="V34" s="479">
        <f>IFERROR(IF(E34="","",IF(S34=0,"",IF(U34&lt;800,"🟢","🟡"))),"")</f>
        <v/>
      </c>
      <c r="W34" s="479">
        <f>IFERROR(IF(E34="","",IF(A34=0,"",O34/A34*$S$6)),"")</f>
        <v/>
      </c>
      <c r="X34" s="479">
        <f>IFERROR(IF(E34="","",W34-$D$4),"")</f>
        <v/>
      </c>
      <c r="Y34" s="479">
        <f>IFERROR(IF(E34="","",IF(S34=0,"",IF(T34&lt;=0,"✅","-"))),"")</f>
        <v/>
      </c>
      <c r="Z34" s="479">
        <f>IFERROR(IF(E34="","",IF(S34=0,"-",IF(T34&lt;=0,"-",T34/(S34*85)))),"")</f>
        <v/>
      </c>
    </row>
    <row r="35">
      <c r="A35" s="482" t="n">
        <v>30</v>
      </c>
      <c r="B35" s="423">
        <f>IF($A35&lt;=$S$6,DATE($S$4,VALUE(LEFT($S$3,FIND("-",$S$3)-1)),$A35),"")</f>
        <v/>
      </c>
      <c r="C35" s="458">
        <f>IF(B35="","",TEXT(B35,"ddd"))</f>
        <v/>
      </c>
      <c r="D35" s="424" t="n">
        <v>0</v>
      </c>
      <c r="E35" s="530" t="n"/>
      <c r="F35" s="460" t="n">
        <v>0</v>
      </c>
      <c r="G35" s="531" t="n">
        <v>0</v>
      </c>
      <c r="H35" s="532">
        <f>IF($A35&lt;=$S$6,IFERROR(E35*G35,0),0)</f>
        <v/>
      </c>
      <c r="I35" s="532">
        <f>D35*F35</f>
        <v/>
      </c>
      <c r="J35" s="532">
        <f>IFERROR(IF(E35="","",G35*(E35/100)),"")</f>
        <v/>
      </c>
      <c r="K35" s="464">
        <f>IFERROR(IF(E35="","",E35-D35),"")</f>
        <v/>
      </c>
      <c r="L35" s="464">
        <f>IFERROR(IF(E35="","",85-E35),"")</f>
        <v/>
      </c>
      <c r="M35" s="465">
        <f>IFERROR(IF(E35="","",L35*G35),"")</f>
        <v/>
      </c>
      <c r="N35" s="460">
        <f>IF(OR(E35="",A35&lt;=7),"-",IF(INDEX(H:H,ROW()-7)=0,"-",TEXT((H35-INDEX(H:H,ROW()-7))/ABS(INDEX(H:H,ROW()-7)),"+0%;-0%")))</f>
        <v/>
      </c>
      <c r="O35" s="466">
        <f>IF($A35&lt;=$S$6,SUM($H$6:H35),0)</f>
        <v/>
      </c>
      <c r="P35" s="489">
        <f>IFERROR(IF($S$6&gt;0,$D$4/$S$6*30,0),0)</f>
        <v/>
      </c>
      <c r="Q35" s="467">
        <f>O35-P35</f>
        <v/>
      </c>
      <c r="R35" s="468">
        <f>IF(E35="","",IF(Q35&gt;=0,"🟢",IF(Q35&gt;=-50000,"🟡","🔴")))</f>
        <v/>
      </c>
      <c r="S35" s="518">
        <f>MAX(0,$S$6-30)</f>
        <v/>
      </c>
      <c r="T35" s="540">
        <f>IFERROR(IF(E35&lt;&gt;"",D$4-O35,""),"")</f>
        <v/>
      </c>
      <c r="U35">
        <f>IFERROR(IF(AND(E35&lt;&gt;"",S35&gt;0),T35/(S35*85),""),"")</f>
        <v/>
      </c>
      <c r="V35">
        <f>IFERROR(IF(E35="","",IF(S35=0,"",IF(U35&lt;800,"🟢","🟡"))),"")</f>
        <v/>
      </c>
      <c r="W35">
        <f>IFERROR(IF(E35="","",IF(A35=0,"",O35/A35*$S$6)),"")</f>
        <v/>
      </c>
      <c r="X35">
        <f>IFERROR(IF(E35="","",W35-$D$4),"")</f>
        <v/>
      </c>
      <c r="Y35">
        <f>IFERROR(IF(E35="","",IF(S35=0,"",IF(T35&lt;=0,"✅","-"))),"")</f>
        <v/>
      </c>
      <c r="Z35">
        <f>IFERROR(IF(E35="","",IF(S35=0,"-",IF(T35&lt;=0,"-",T35/(S35*85)))),"")</f>
        <v/>
      </c>
    </row>
    <row r="36">
      <c r="A36" s="482" t="n">
        <v>31</v>
      </c>
      <c r="B36" s="423">
        <f>IF($A36&lt;=$S$6,DATE($S$4,VALUE(LEFT($S$3,FIND("-",$S$3)-1)),$A36),"")</f>
        <v/>
      </c>
      <c r="C36" s="458">
        <f>IF(B36="","",TEXT(B36,"ddd"))</f>
        <v/>
      </c>
      <c r="D36" s="424" t="n">
        <v>0</v>
      </c>
      <c r="E36" s="530" t="n"/>
      <c r="F36" s="460" t="n">
        <v>0</v>
      </c>
      <c r="G36" s="531" t="n">
        <v>0</v>
      </c>
      <c r="H36" s="532">
        <f>IF($A36&lt;=$S$6,IFERROR(E36*G36,0),0)</f>
        <v/>
      </c>
      <c r="I36" s="532">
        <f>D36*F36</f>
        <v/>
      </c>
      <c r="J36" s="532">
        <f>IFERROR(IF(E36="","",G36*(E36/100)),"")</f>
        <v/>
      </c>
      <c r="K36" s="464">
        <f>IFERROR(IF(E36="","",E36-D36),"")</f>
        <v/>
      </c>
      <c r="L36" s="464">
        <f>IFERROR(IF(E36="","",85-E36),"")</f>
        <v/>
      </c>
      <c r="M36" s="465">
        <f>IFERROR(IF(E36="","",L36*G36),"")</f>
        <v/>
      </c>
      <c r="N36" s="460">
        <f>IF(OR(E36="",A36&lt;=7),"-",IF(INDEX(H:H,ROW()-7)=0,"-",TEXT((H36-INDEX(H:H,ROW()-7))/ABS(INDEX(H:H,ROW()-7)),"+0%;-0%")))</f>
        <v/>
      </c>
      <c r="O36" s="466">
        <f>IF($A36&lt;=$S$6,SUM($H$6:H36),0)</f>
        <v/>
      </c>
      <c r="P36" s="489">
        <f>IFERROR(IF($S$6&gt;0,$D$4/$S$6*31,0),0)</f>
        <v/>
      </c>
      <c r="Q36" s="467">
        <f>O36-P36</f>
        <v/>
      </c>
      <c r="R36" s="468">
        <f>IF(E36="","",IF(Q36&gt;=0,"🟢",IF(Q36&gt;=-50000,"🟡","🔴")))</f>
        <v/>
      </c>
      <c r="S36" s="518">
        <f>MAX(0,$S$6-31)</f>
        <v/>
      </c>
      <c r="T36" s="540">
        <f>IFERROR(IF(E36&lt;&gt;"",D$4-O36,""),"")</f>
        <v/>
      </c>
      <c r="U36">
        <f>IFERROR(IF(AND(E36&lt;&gt;"",S36&gt;0),T36/(S36*85),""),"")</f>
        <v/>
      </c>
      <c r="V36">
        <f>IFERROR(IF(E36="","",IF(S36=0,"",IF(U36&lt;800,"🟢","🟡"))),"")</f>
        <v/>
      </c>
      <c r="W36">
        <f>IFERROR(IF(E36="","",IF(A36=0,"",O36/A36*$S$6)),"")</f>
        <v/>
      </c>
      <c r="X36">
        <f>IFERROR(IF(E36="","",W36-$D$4),"")</f>
        <v/>
      </c>
      <c r="Y36">
        <f>IFERROR(IF(E36="","",IF(S36=0,"",IF(T36&lt;=0,"✅","-"))),"")</f>
        <v/>
      </c>
      <c r="Z36">
        <f>IFERROR(IF(E36="","",IF(S36=0,"-",IF(T36&lt;=0,"-",T36/(S36*85)))),"")</f>
        <v/>
      </c>
    </row>
    <row r="37">
      <c r="A37" s="533">
        <f>IF(COUNTA(E6:E36)&lt;$S$6, "(Parcial - "&amp;COUNTA(E6:E36)&amp;" de "&amp;$S$6&amp;" días)", "TOTALES")</f>
        <v/>
      </c>
      <c r="B37" s="534" t="n"/>
      <c r="C37" s="534" t="n"/>
      <c r="D37" s="535" t="n"/>
      <c r="E37" s="535">
        <f>IFERROR(AVERAGE(IF(E6:E36&lt;&gt;"",E6:E36)), "")</f>
        <v/>
      </c>
      <c r="F37" s="536" t="n"/>
      <c r="G37" s="536" t="n"/>
      <c r="H37" s="536">
        <f>SUM($H$6:$H$36)</f>
        <v/>
      </c>
      <c r="I37" s="536" t="n"/>
      <c r="J37" s="536" t="n"/>
      <c r="K37" s="537" t="n"/>
      <c r="L37" s="533" t="n"/>
      <c r="M37" s="536" t="n"/>
      <c r="N37" s="536" t="n"/>
      <c r="O37" s="536">
        <f>INDEX($O$6:$O$36,$S$6)</f>
        <v/>
      </c>
      <c r="P37" s="536" t="n"/>
      <c r="Q37" s="538" t="n"/>
      <c r="R37" s="535" t="n"/>
      <c r="S37" s="535" t="n"/>
    </row>
  </sheetData>
  <conditionalFormatting sqref="E6:E33">
    <cfRule type="colorScale" priority="1">
      <colorScale>
        <cfvo type="num" val="0"/>
        <cfvo type="num" val="0.75"/>
        <cfvo type="num" val="1"/>
        <color rgb="00F8696B"/>
        <color rgb="00FFEB84"/>
        <color rgb="0063BE7B"/>
      </colorScale>
    </cfRule>
  </conditionalFormatting>
  <conditionalFormatting sqref="A34:O34">
    <cfRule type="expression" priority="2" dxfId="0">
      <formula>$S$6&lt;29</formula>
    </cfRule>
  </conditionalFormatting>
  <conditionalFormatting sqref="A35:O35">
    <cfRule type="expression" priority="3" dxfId="0">
      <formula>$S$6&lt;30</formula>
    </cfRule>
  </conditionalFormatting>
  <conditionalFormatting sqref="A36:O36">
    <cfRule type="expression" priority="4" dxfId="0">
      <formula>$S$6&lt;31</formula>
    </cfRule>
  </conditionalFormatting>
  <dataValidations count="4">
    <dataValidation sqref="E6:E33" showDropDown="0" showInputMessage="0" showErrorMessage="0" allowBlank="1" errorTitle="Valor inválido" error="Ocupación debe estar entre 0 y 100" type="decimal" operator="between">
      <formula1>0</formula1>
      <formula2>100</formula2>
    </dataValidation>
    <dataValidation sqref="G6:G33" showDropDown="0" showInputMessage="0" showErrorMessage="0" allowBlank="1" errorTitle="Valor inválido" error="La tarifa debe ser mayor a 0" type="decimal" operator="greaterThan">
      <formula1>0</formula1>
    </dataValidation>
    <dataValidation sqref="S3" showDropDown="0" showInputMessage="0" showErrorMessage="0" allowBlank="0" type="list">
      <formula1>"1-Enero,2-Febrero,3-Marzo,4-Abril,5-Mayo,6-Junio,7-Julio,8-Agosto,9-Septiembre,10-Octubre,11-Noviembre,12-Diciembre"</formula1>
    </dataValidation>
    <dataValidation sqref="S4" showDropDown="0" showInputMessage="0" showErrorMessage="0" allowBlank="0" type="whole" operator="between">
      <formula1>2020</formula1>
      <formula2>2030</formula2>
    </dataValidation>
  </dataValidations>
  <pageMargins left="0.7" right="0.7" top="0.75" bottom="0.75" header="0.3" footer="0.3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K35"/>
  <sheetViews>
    <sheetView topLeftCell="A20" zoomScale="90" workbookViewId="0">
      <selection activeCell="A1" sqref="A1"/>
    </sheetView>
  </sheetViews>
  <sheetFormatPr baseColWidth="8" defaultRowHeight="15"/>
  <cols>
    <col width="6.42578125" customWidth="1" min="1" max="1"/>
    <col width="21.5703125" customWidth="1" min="2" max="2"/>
    <col width="40" customWidth="1" min="11" max="11"/>
  </cols>
  <sheetData>
    <row r="1" ht="23.25" customHeight="1">
      <c r="A1" s="368" t="inlineStr">
        <is>
          <t>DASHBOARD DE GRÁFICOS - FEBRERO 2026</t>
        </is>
      </c>
      <c r="B1" s="213" t="n"/>
      <c r="C1" s="213" t="n"/>
      <c r="D1" s="213" t="n"/>
      <c r="E1" s="213" t="n"/>
      <c r="F1" s="213" t="n"/>
      <c r="G1" s="213" t="n"/>
      <c r="H1" s="213" t="n"/>
      <c r="I1" s="213" t="n"/>
      <c r="K1" s="502" t="inlineStr">
        <is>
          <t>INSTRUCCIONES PARA GOOGLE SHEETS</t>
        </is>
      </c>
    </row>
    <row r="2">
      <c r="A2" s="213" t="n"/>
      <c r="B2" s="213" t="n"/>
      <c r="C2" s="213" t="n"/>
      <c r="D2" s="213" t="n"/>
      <c r="E2" s="213" t="n"/>
      <c r="F2" s="213" t="n"/>
      <c r="G2" s="213" t="n"/>
      <c r="H2" s="213" t="n"/>
      <c r="I2" s="213" t="n"/>
      <c r="K2" s="503" t="inlineStr">
        <is>
          <t>Para crear gráficos en Google Sheets:</t>
        </is>
      </c>
    </row>
    <row r="3" ht="15.75" customHeight="1">
      <c r="A3" s="369" t="inlineStr">
        <is>
          <t>INGRESOS DIARIOS vs META</t>
        </is>
      </c>
      <c r="B3" s="213" t="n"/>
      <c r="C3" s="213" t="n"/>
      <c r="D3" s="213" t="n"/>
      <c r="E3" s="213" t="n"/>
      <c r="F3" s="369" t="inlineStr">
        <is>
          <t>OCUPACIÓN Y REVPAR DIARIO</t>
        </is>
      </c>
      <c r="G3" s="213" t="n"/>
      <c r="H3" s="213" t="n"/>
      <c r="I3" s="213" t="n"/>
      <c r="K3" s="503" t="inlineStr"/>
    </row>
    <row r="4">
      <c r="A4" s="239" t="inlineStr">
        <is>
          <t>DÍA</t>
        </is>
      </c>
      <c r="B4" s="239" t="inlineStr">
        <is>
          <t>INGRESO REAL</t>
        </is>
      </c>
      <c r="C4" s="239" t="inlineStr">
        <is>
          <t>META DIARIA</t>
        </is>
      </c>
      <c r="D4" s="239" t="inlineStr">
        <is>
          <t>ACUMULADO</t>
        </is>
      </c>
      <c r="E4" s="213" t="n"/>
      <c r="F4" s="239" t="inlineStr">
        <is>
          <t>DÍA</t>
        </is>
      </c>
      <c r="G4" s="239" t="inlineStr">
        <is>
          <t>OCC REAL</t>
        </is>
      </c>
      <c r="H4" s="239" t="inlineStr">
        <is>
          <t>OCC EST</t>
        </is>
      </c>
      <c r="I4" s="239" t="inlineStr">
        <is>
          <t>REVPAR</t>
        </is>
      </c>
      <c r="K4" s="503" t="inlineStr">
        <is>
          <t>1. INGRESOS VS META:</t>
        </is>
      </c>
    </row>
    <row r="5">
      <c r="A5" s="213">
        <f>'Seguimiento Diario'!A6</f>
        <v/>
      </c>
      <c r="B5" s="213">
        <f>'Seguimiento Diario'!H6</f>
        <v/>
      </c>
      <c r="C5" s="213">
        <f>IF('Seguimiento Diario'!$S$6&gt;0,'Seguimiento Diario'!$D$4/'Seguimiento Diario'!$S$6,"")</f>
        <v/>
      </c>
      <c r="D5" s="213">
        <f>'Seguimiento Diario'!O6</f>
        <v/>
      </c>
      <c r="E5" s="213" t="n"/>
      <c r="F5" s="213">
        <f>'Seguimiento Diario'!A6</f>
        <v/>
      </c>
      <c r="G5" s="213">
        <f>'Seguimiento Diario'!E6</f>
        <v/>
      </c>
      <c r="H5" s="213">
        <f>'Seguimiento Diario'!D6</f>
        <v/>
      </c>
      <c r="I5" s="213">
        <f>'Seguimiento Diario'!J6</f>
        <v/>
      </c>
      <c r="K5" s="503" t="inlineStr">
        <is>
          <t xml:space="preserve">   - Selecciona A4:C32</t>
        </is>
      </c>
    </row>
    <row r="6">
      <c r="A6" s="241">
        <f>'Seguimiento Diario'!A7</f>
        <v/>
      </c>
      <c r="B6" s="242">
        <f>'Seguimiento Diario'!H7</f>
        <v/>
      </c>
      <c r="C6" s="213">
        <f>IF('Seguimiento Diario'!$S$6&gt;0,'Seguimiento Diario'!$D$4/'Seguimiento Diario'!$S$6,"")</f>
        <v/>
      </c>
      <c r="D6" s="213">
        <f>'Seguimiento Diario'!O7</f>
        <v/>
      </c>
      <c r="E6" s="213" t="n"/>
      <c r="F6" s="213">
        <f>'Seguimiento Diario'!A7</f>
        <v/>
      </c>
      <c r="G6" s="213">
        <f>'Seguimiento Diario'!E7</f>
        <v/>
      </c>
      <c r="H6" s="213">
        <f>'Seguimiento Diario'!D7</f>
        <v/>
      </c>
      <c r="I6" s="213">
        <f>'Seguimiento Diario'!J7</f>
        <v/>
      </c>
      <c r="K6" s="503" t="inlineStr">
        <is>
          <t xml:space="preserve">   - Insertar → Gráfico → Líneas</t>
        </is>
      </c>
    </row>
    <row r="7">
      <c r="A7" s="241">
        <f>'Seguimiento Diario'!A8</f>
        <v/>
      </c>
      <c r="B7" s="242">
        <f>'Seguimiento Diario'!H8</f>
        <v/>
      </c>
      <c r="C7" s="213">
        <f>IF('Seguimiento Diario'!$S$6&gt;0,'Seguimiento Diario'!$D$4/'Seguimiento Diario'!$S$6,"")</f>
        <v/>
      </c>
      <c r="D7" s="213">
        <f>'Seguimiento Diario'!O8</f>
        <v/>
      </c>
      <c r="E7" s="213" t="n"/>
      <c r="F7" s="213">
        <f>'Seguimiento Diario'!A8</f>
        <v/>
      </c>
      <c r="G7" s="213">
        <f>'Seguimiento Diario'!E8</f>
        <v/>
      </c>
      <c r="H7" s="213">
        <f>'Seguimiento Diario'!D8</f>
        <v/>
      </c>
      <c r="I7" s="213">
        <f>'Seguimiento Diario'!J8</f>
        <v/>
      </c>
      <c r="K7" s="503" t="inlineStr"/>
    </row>
    <row r="8">
      <c r="A8" s="241">
        <f>'Seguimiento Diario'!A9</f>
        <v/>
      </c>
      <c r="B8" s="242">
        <f>'Seguimiento Diario'!H9</f>
        <v/>
      </c>
      <c r="C8" s="213">
        <f>IF('Seguimiento Diario'!$S$6&gt;0,'Seguimiento Diario'!$D$4/'Seguimiento Diario'!$S$6,"")</f>
        <v/>
      </c>
      <c r="D8" s="213">
        <f>'Seguimiento Diario'!O9</f>
        <v/>
      </c>
      <c r="E8" s="213" t="n"/>
      <c r="F8" s="213">
        <f>'Seguimiento Diario'!A9</f>
        <v/>
      </c>
      <c r="G8" s="213">
        <f>'Seguimiento Diario'!E9</f>
        <v/>
      </c>
      <c r="H8" s="213">
        <f>'Seguimiento Diario'!D9</f>
        <v/>
      </c>
      <c r="I8" s="213">
        <f>'Seguimiento Diario'!J9</f>
        <v/>
      </c>
      <c r="K8" s="503" t="inlineStr">
        <is>
          <t>2. OCUPACIÓN REAL VS ESTIMADA:</t>
        </is>
      </c>
    </row>
    <row r="9">
      <c r="A9" s="241">
        <f>'Seguimiento Diario'!A10</f>
        <v/>
      </c>
      <c r="B9" s="242">
        <f>'Seguimiento Diario'!H10</f>
        <v/>
      </c>
      <c r="C9" s="213">
        <f>IF('Seguimiento Diario'!$S$6&gt;0,'Seguimiento Diario'!$D$4/'Seguimiento Diario'!$S$6,"")</f>
        <v/>
      </c>
      <c r="D9" s="213">
        <f>'Seguimiento Diario'!O10</f>
        <v/>
      </c>
      <c r="E9" s="213" t="n"/>
      <c r="F9" s="213">
        <f>'Seguimiento Diario'!A10</f>
        <v/>
      </c>
      <c r="G9" s="213">
        <f>'Seguimiento Diario'!E10</f>
        <v/>
      </c>
      <c r="H9" s="213">
        <f>'Seguimiento Diario'!D10</f>
        <v/>
      </c>
      <c r="I9" s="213">
        <f>'Seguimiento Diario'!J10</f>
        <v/>
      </c>
      <c r="K9" s="503" t="inlineStr">
        <is>
          <t xml:space="preserve">   - Selecciona F4:H32</t>
        </is>
      </c>
    </row>
    <row r="10">
      <c r="A10" s="241">
        <f>'Seguimiento Diario'!A11</f>
        <v/>
      </c>
      <c r="B10" s="242">
        <f>'Seguimiento Diario'!H11</f>
        <v/>
      </c>
      <c r="C10" s="213">
        <f>IF('Seguimiento Diario'!$S$6&gt;0,'Seguimiento Diario'!$D$4/'Seguimiento Diario'!$S$6,"")</f>
        <v/>
      </c>
      <c r="D10" s="213">
        <f>'Seguimiento Diario'!O11</f>
        <v/>
      </c>
      <c r="E10" s="213" t="n"/>
      <c r="F10" s="213">
        <f>'Seguimiento Diario'!A11</f>
        <v/>
      </c>
      <c r="G10" s="213">
        <f>'Seguimiento Diario'!E11</f>
        <v/>
      </c>
      <c r="H10" s="213">
        <f>'Seguimiento Diario'!D11</f>
        <v/>
      </c>
      <c r="I10" s="213">
        <f>'Seguimiento Diario'!J11</f>
        <v/>
      </c>
      <c r="K10" s="503" t="inlineStr">
        <is>
          <t xml:space="preserve">   - Insertar → Gráfico → Barras</t>
        </is>
      </c>
    </row>
    <row r="11">
      <c r="A11" s="241">
        <f>'Seguimiento Diario'!A12</f>
        <v/>
      </c>
      <c r="B11" s="242">
        <f>'Seguimiento Diario'!H12</f>
        <v/>
      </c>
      <c r="C11" s="213">
        <f>IF('Seguimiento Diario'!$S$6&gt;0,'Seguimiento Diario'!$D$4/'Seguimiento Diario'!$S$6,"")</f>
        <v/>
      </c>
      <c r="D11" s="213">
        <f>'Seguimiento Diario'!O12</f>
        <v/>
      </c>
      <c r="E11" s="213" t="n"/>
      <c r="F11" s="213">
        <f>'Seguimiento Diario'!A12</f>
        <v/>
      </c>
      <c r="G11" s="213">
        <f>'Seguimiento Diario'!E12</f>
        <v/>
      </c>
      <c r="H11" s="213">
        <f>'Seguimiento Diario'!D12</f>
        <v/>
      </c>
      <c r="I11" s="213">
        <f>'Seguimiento Diario'!J12</f>
        <v/>
      </c>
      <c r="K11" s="503" t="inlineStr"/>
    </row>
    <row r="12">
      <c r="A12" s="241">
        <f>'Seguimiento Diario'!A13</f>
        <v/>
      </c>
      <c r="B12" s="242">
        <f>'Seguimiento Diario'!H13</f>
        <v/>
      </c>
      <c r="C12" s="213">
        <f>IF('Seguimiento Diario'!$S$6&gt;0,'Seguimiento Diario'!$D$4/'Seguimiento Diario'!$S$6,"")</f>
        <v/>
      </c>
      <c r="D12" s="213">
        <f>'Seguimiento Diario'!O13</f>
        <v/>
      </c>
      <c r="E12" s="213" t="n"/>
      <c r="F12" s="213">
        <f>'Seguimiento Diario'!A13</f>
        <v/>
      </c>
      <c r="G12" s="213">
        <f>'Seguimiento Diario'!E13</f>
        <v/>
      </c>
      <c r="H12" s="213">
        <f>'Seguimiento Diario'!D13</f>
        <v/>
      </c>
      <c r="I12" s="213">
        <f>'Seguimiento Diario'!J13</f>
        <v/>
      </c>
      <c r="K12" s="503" t="inlineStr">
        <is>
          <t>3. INGRESOS ACUMULADOS:</t>
        </is>
      </c>
    </row>
    <row r="13">
      <c r="A13" s="241">
        <f>'Seguimiento Diario'!A14</f>
        <v/>
      </c>
      <c r="B13" s="242">
        <f>'Seguimiento Diario'!H14</f>
        <v/>
      </c>
      <c r="C13" s="213">
        <f>IF('Seguimiento Diario'!$S$6&gt;0,'Seguimiento Diario'!$D$4/'Seguimiento Diario'!$S$6,"")</f>
        <v/>
      </c>
      <c r="D13" s="213">
        <f>'Seguimiento Diario'!O14</f>
        <v/>
      </c>
      <c r="E13" s="213" t="n"/>
      <c r="F13" s="213">
        <f>'Seguimiento Diario'!A14</f>
        <v/>
      </c>
      <c r="G13" s="213">
        <f>'Seguimiento Diario'!E14</f>
        <v/>
      </c>
      <c r="H13" s="213">
        <f>'Seguimiento Diario'!D14</f>
        <v/>
      </c>
      <c r="I13" s="213">
        <f>'Seguimiento Diario'!J14</f>
        <v/>
      </c>
      <c r="K13" s="503" t="inlineStr">
        <is>
          <t xml:space="preserve">   - Selecciona A4:A32 y D4:D32</t>
        </is>
      </c>
    </row>
    <row r="14">
      <c r="A14" s="241">
        <f>'Seguimiento Diario'!A15</f>
        <v/>
      </c>
      <c r="B14" s="242">
        <f>'Seguimiento Diario'!H15</f>
        <v/>
      </c>
      <c r="C14" s="213">
        <f>IF('Seguimiento Diario'!$S$6&gt;0,'Seguimiento Diario'!$D$4/'Seguimiento Diario'!$S$6,"")</f>
        <v/>
      </c>
      <c r="D14" s="213">
        <f>'Seguimiento Diario'!O15</f>
        <v/>
      </c>
      <c r="E14" s="213" t="n"/>
      <c r="F14" s="213">
        <f>'Seguimiento Diario'!A15</f>
        <v/>
      </c>
      <c r="G14" s="213">
        <f>'Seguimiento Diario'!E15</f>
        <v/>
      </c>
      <c r="H14" s="213">
        <f>'Seguimiento Diario'!D15</f>
        <v/>
      </c>
      <c r="I14" s="213">
        <f>'Seguimiento Diario'!J15</f>
        <v/>
      </c>
      <c r="K14" s="503" t="inlineStr">
        <is>
          <t xml:space="preserve">   - Insertar → Gráfico → Área</t>
        </is>
      </c>
    </row>
    <row r="15">
      <c r="A15" s="241">
        <f>'Seguimiento Diario'!A16</f>
        <v/>
      </c>
      <c r="B15" s="242">
        <f>'Seguimiento Diario'!H16</f>
        <v/>
      </c>
      <c r="C15" s="213">
        <f>IF('Seguimiento Diario'!$S$6&gt;0,'Seguimiento Diario'!$D$4/'Seguimiento Diario'!$S$6,"")</f>
        <v/>
      </c>
      <c r="D15" s="213">
        <f>'Seguimiento Diario'!O16</f>
        <v/>
      </c>
      <c r="E15" s="213" t="n"/>
      <c r="F15" s="213">
        <f>'Seguimiento Diario'!A16</f>
        <v/>
      </c>
      <c r="G15" s="213">
        <f>'Seguimiento Diario'!E16</f>
        <v/>
      </c>
      <c r="H15" s="213">
        <f>'Seguimiento Diario'!D16</f>
        <v/>
      </c>
      <c r="I15" s="213">
        <f>'Seguimiento Diario'!J16</f>
        <v/>
      </c>
      <c r="K15" s="503" t="inlineStr"/>
    </row>
    <row r="16">
      <c r="A16" s="241">
        <f>'Seguimiento Diario'!A17</f>
        <v/>
      </c>
      <c r="B16" s="242">
        <f>'Seguimiento Diario'!H17</f>
        <v/>
      </c>
      <c r="C16" s="213">
        <f>IF('Seguimiento Diario'!$S$6&gt;0,'Seguimiento Diario'!$D$4/'Seguimiento Diario'!$S$6,"")</f>
        <v/>
      </c>
      <c r="D16" s="213">
        <f>'Seguimiento Diario'!O17</f>
        <v/>
      </c>
      <c r="E16" s="213" t="n"/>
      <c r="F16" s="213">
        <f>'Seguimiento Diario'!A17</f>
        <v/>
      </c>
      <c r="G16" s="213">
        <f>'Seguimiento Diario'!E17</f>
        <v/>
      </c>
      <c r="H16" s="213">
        <f>'Seguimiento Diario'!D17</f>
        <v/>
      </c>
      <c r="I16" s="213">
        <f>'Seguimiento Diario'!J17</f>
        <v/>
      </c>
      <c r="K16" s="503" t="inlineStr">
        <is>
          <t>4. REVPAR DIARIO:</t>
        </is>
      </c>
    </row>
    <row r="17">
      <c r="A17" s="241">
        <f>'Seguimiento Diario'!A18</f>
        <v/>
      </c>
      <c r="B17" s="242">
        <f>'Seguimiento Diario'!H18</f>
        <v/>
      </c>
      <c r="C17" s="213">
        <f>IF('Seguimiento Diario'!$S$6&gt;0,'Seguimiento Diario'!$D$4/'Seguimiento Diario'!$S$6,"")</f>
        <v/>
      </c>
      <c r="D17" s="213">
        <f>'Seguimiento Diario'!O18</f>
        <v/>
      </c>
      <c r="E17" s="213" t="n"/>
      <c r="F17" s="213">
        <f>'Seguimiento Diario'!A18</f>
        <v/>
      </c>
      <c r="G17" s="213">
        <f>'Seguimiento Diario'!E18</f>
        <v/>
      </c>
      <c r="H17" s="213">
        <f>'Seguimiento Diario'!D18</f>
        <v/>
      </c>
      <c r="I17" s="213">
        <f>'Seguimiento Diario'!J18</f>
        <v/>
      </c>
      <c r="K17" s="503" t="inlineStr">
        <is>
          <t xml:space="preserve">   - Selecciona F4:F32 e I4:I32</t>
        </is>
      </c>
    </row>
    <row r="18">
      <c r="A18" s="241">
        <f>'Seguimiento Diario'!A19</f>
        <v/>
      </c>
      <c r="B18" s="242">
        <f>'Seguimiento Diario'!H19</f>
        <v/>
      </c>
      <c r="C18" s="213">
        <f>IF('Seguimiento Diario'!$S$6&gt;0,'Seguimiento Diario'!$D$4/'Seguimiento Diario'!$S$6,"")</f>
        <v/>
      </c>
      <c r="D18" s="213">
        <f>'Seguimiento Diario'!O19</f>
        <v/>
      </c>
      <c r="E18" s="213" t="n"/>
      <c r="F18" s="213">
        <f>'Seguimiento Diario'!A19</f>
        <v/>
      </c>
      <c r="G18" s="213">
        <f>'Seguimiento Diario'!E19</f>
        <v/>
      </c>
      <c r="H18" s="213">
        <f>'Seguimiento Diario'!D19</f>
        <v/>
      </c>
      <c r="I18" s="213">
        <f>'Seguimiento Diario'!J19</f>
        <v/>
      </c>
      <c r="K18" s="503" t="inlineStr">
        <is>
          <t xml:space="preserve">   - Insertar → Gráfico → Líneas</t>
        </is>
      </c>
    </row>
    <row r="19">
      <c r="A19" s="241">
        <f>'Seguimiento Diario'!A20</f>
        <v/>
      </c>
      <c r="B19" s="242">
        <f>'Seguimiento Diario'!H20</f>
        <v/>
      </c>
      <c r="C19" s="213">
        <f>IF('Seguimiento Diario'!$S$6&gt;0,'Seguimiento Diario'!$D$4/'Seguimiento Diario'!$S$6,"")</f>
        <v/>
      </c>
      <c r="D19" s="213">
        <f>'Seguimiento Diario'!O20</f>
        <v/>
      </c>
      <c r="E19" s="213" t="n"/>
      <c r="F19" s="213">
        <f>'Seguimiento Diario'!A20</f>
        <v/>
      </c>
      <c r="G19" s="213">
        <f>'Seguimiento Diario'!E20</f>
        <v/>
      </c>
      <c r="H19" s="213">
        <f>'Seguimiento Diario'!D20</f>
        <v/>
      </c>
      <c r="I19" s="213">
        <f>'Seguimiento Diario'!J20</f>
        <v/>
      </c>
    </row>
    <row r="20">
      <c r="A20" s="241">
        <f>'Seguimiento Diario'!A21</f>
        <v/>
      </c>
      <c r="B20" s="242">
        <f>'Seguimiento Diario'!H21</f>
        <v/>
      </c>
      <c r="C20" s="213">
        <f>IF('Seguimiento Diario'!$S$6&gt;0,'Seguimiento Diario'!$D$4/'Seguimiento Diario'!$S$6,"")</f>
        <v/>
      </c>
      <c r="D20" s="213">
        <f>'Seguimiento Diario'!O21</f>
        <v/>
      </c>
      <c r="E20" s="213" t="n"/>
      <c r="F20" s="213">
        <f>'Seguimiento Diario'!A21</f>
        <v/>
      </c>
      <c r="G20" s="213">
        <f>'Seguimiento Diario'!E21</f>
        <v/>
      </c>
      <c r="H20" s="213">
        <f>'Seguimiento Diario'!D21</f>
        <v/>
      </c>
      <c r="I20" s="213">
        <f>'Seguimiento Diario'!J21</f>
        <v/>
      </c>
    </row>
    <row r="21">
      <c r="A21" s="241">
        <f>'Seguimiento Diario'!A22</f>
        <v/>
      </c>
      <c r="B21" s="242">
        <f>'Seguimiento Diario'!H22</f>
        <v/>
      </c>
      <c r="C21" s="213">
        <f>IF('Seguimiento Diario'!$S$6&gt;0,'Seguimiento Diario'!$D$4/'Seguimiento Diario'!$S$6,"")</f>
        <v/>
      </c>
      <c r="D21" s="213">
        <f>'Seguimiento Diario'!O22</f>
        <v/>
      </c>
      <c r="E21" s="213" t="n"/>
      <c r="F21" s="213">
        <f>'Seguimiento Diario'!A22</f>
        <v/>
      </c>
      <c r="G21" s="213">
        <f>'Seguimiento Diario'!E22</f>
        <v/>
      </c>
      <c r="H21" s="213">
        <f>'Seguimiento Diario'!D22</f>
        <v/>
      </c>
      <c r="I21" s="213">
        <f>'Seguimiento Diario'!J22</f>
        <v/>
      </c>
    </row>
    <row r="22">
      <c r="A22" s="241">
        <f>'Seguimiento Diario'!A23</f>
        <v/>
      </c>
      <c r="B22" s="242">
        <f>'Seguimiento Diario'!H23</f>
        <v/>
      </c>
      <c r="C22" s="213">
        <f>IF('Seguimiento Diario'!$S$6&gt;0,'Seguimiento Diario'!$D$4/'Seguimiento Diario'!$S$6,"")</f>
        <v/>
      </c>
      <c r="D22" s="213">
        <f>'Seguimiento Diario'!O23</f>
        <v/>
      </c>
      <c r="E22" s="213" t="n"/>
      <c r="F22" s="213">
        <f>'Seguimiento Diario'!A23</f>
        <v/>
      </c>
      <c r="G22" s="213">
        <f>'Seguimiento Diario'!E23</f>
        <v/>
      </c>
      <c r="H22" s="213">
        <f>'Seguimiento Diario'!D23</f>
        <v/>
      </c>
      <c r="I22" s="213">
        <f>'Seguimiento Diario'!J23</f>
        <v/>
      </c>
    </row>
    <row r="23">
      <c r="A23" s="241">
        <f>'Seguimiento Diario'!A24</f>
        <v/>
      </c>
      <c r="B23" s="242">
        <f>'Seguimiento Diario'!H24</f>
        <v/>
      </c>
      <c r="C23" s="213">
        <f>IF('Seguimiento Diario'!$S$6&gt;0,'Seguimiento Diario'!$D$4/'Seguimiento Diario'!$S$6,"")</f>
        <v/>
      </c>
      <c r="D23" s="213">
        <f>'Seguimiento Diario'!O24</f>
        <v/>
      </c>
      <c r="E23" s="213" t="n"/>
      <c r="F23" s="213">
        <f>'Seguimiento Diario'!A24</f>
        <v/>
      </c>
      <c r="G23" s="213">
        <f>'Seguimiento Diario'!E24</f>
        <v/>
      </c>
      <c r="H23" s="213">
        <f>'Seguimiento Diario'!D24</f>
        <v/>
      </c>
      <c r="I23" s="213">
        <f>'Seguimiento Diario'!J24</f>
        <v/>
      </c>
    </row>
    <row r="24">
      <c r="A24" s="241">
        <f>'Seguimiento Diario'!A25</f>
        <v/>
      </c>
      <c r="B24" s="242">
        <f>'Seguimiento Diario'!H25</f>
        <v/>
      </c>
      <c r="C24" s="213">
        <f>IF('Seguimiento Diario'!$S$6&gt;0,'Seguimiento Diario'!$D$4/'Seguimiento Diario'!$S$6,"")</f>
        <v/>
      </c>
      <c r="D24" s="213">
        <f>'Seguimiento Diario'!O25</f>
        <v/>
      </c>
      <c r="E24" s="213" t="n"/>
      <c r="F24" s="213">
        <f>'Seguimiento Diario'!A25</f>
        <v/>
      </c>
      <c r="G24" s="213">
        <f>'Seguimiento Diario'!E25</f>
        <v/>
      </c>
      <c r="H24" s="213">
        <f>'Seguimiento Diario'!D25</f>
        <v/>
      </c>
      <c r="I24" s="213">
        <f>'Seguimiento Diario'!J25</f>
        <v/>
      </c>
    </row>
    <row r="25">
      <c r="A25" s="241">
        <f>'Seguimiento Diario'!A26</f>
        <v/>
      </c>
      <c r="B25" s="242">
        <f>'Seguimiento Diario'!H26</f>
        <v/>
      </c>
      <c r="C25" s="213">
        <f>IF('Seguimiento Diario'!$S$6&gt;0,'Seguimiento Diario'!$D$4/'Seguimiento Diario'!$S$6,"")</f>
        <v/>
      </c>
      <c r="D25" s="213">
        <f>'Seguimiento Diario'!O26</f>
        <v/>
      </c>
      <c r="E25" s="213" t="n"/>
      <c r="F25" s="213">
        <f>'Seguimiento Diario'!A26</f>
        <v/>
      </c>
      <c r="G25" s="213">
        <f>'Seguimiento Diario'!E26</f>
        <v/>
      </c>
      <c r="H25" s="213">
        <f>'Seguimiento Diario'!D26</f>
        <v/>
      </c>
      <c r="I25" s="213">
        <f>'Seguimiento Diario'!J26</f>
        <v/>
      </c>
    </row>
    <row r="26">
      <c r="A26" s="241">
        <f>'Seguimiento Diario'!A27</f>
        <v/>
      </c>
      <c r="B26" s="242">
        <f>'Seguimiento Diario'!H27</f>
        <v/>
      </c>
      <c r="C26" s="213">
        <f>IF('Seguimiento Diario'!$S$6&gt;0,'Seguimiento Diario'!$D$4/'Seguimiento Diario'!$S$6,"")</f>
        <v/>
      </c>
      <c r="D26" s="213">
        <f>'Seguimiento Diario'!O27</f>
        <v/>
      </c>
      <c r="E26" s="213" t="n"/>
      <c r="F26" s="213">
        <f>'Seguimiento Diario'!A27</f>
        <v/>
      </c>
      <c r="G26" s="213">
        <f>'Seguimiento Diario'!E27</f>
        <v/>
      </c>
      <c r="H26" s="213">
        <f>'Seguimiento Diario'!D27</f>
        <v/>
      </c>
      <c r="I26" s="213">
        <f>'Seguimiento Diario'!J27</f>
        <v/>
      </c>
    </row>
    <row r="27">
      <c r="A27" s="241">
        <f>'Seguimiento Diario'!A28</f>
        <v/>
      </c>
      <c r="B27" s="242">
        <f>'Seguimiento Diario'!H28</f>
        <v/>
      </c>
      <c r="C27" s="213">
        <f>IF('Seguimiento Diario'!$S$6&gt;0,'Seguimiento Diario'!$D$4/'Seguimiento Diario'!$S$6,"")</f>
        <v/>
      </c>
      <c r="D27" s="213">
        <f>'Seguimiento Diario'!O28</f>
        <v/>
      </c>
      <c r="E27" s="213" t="n"/>
      <c r="F27" s="213">
        <f>'Seguimiento Diario'!A28</f>
        <v/>
      </c>
      <c r="G27" s="213">
        <f>'Seguimiento Diario'!E28</f>
        <v/>
      </c>
      <c r="H27" s="213">
        <f>'Seguimiento Diario'!D28</f>
        <v/>
      </c>
      <c r="I27" s="213">
        <f>'Seguimiento Diario'!J28</f>
        <v/>
      </c>
    </row>
    <row r="28">
      <c r="A28" s="241">
        <f>'Seguimiento Diario'!A29</f>
        <v/>
      </c>
      <c r="B28" s="242">
        <f>'Seguimiento Diario'!H29</f>
        <v/>
      </c>
      <c r="C28" s="213">
        <f>IF('Seguimiento Diario'!$S$6&gt;0,'Seguimiento Diario'!$D$4/'Seguimiento Diario'!$S$6,"")</f>
        <v/>
      </c>
      <c r="D28" s="213">
        <f>'Seguimiento Diario'!O29</f>
        <v/>
      </c>
      <c r="E28" s="213" t="n"/>
      <c r="F28" s="213">
        <f>'Seguimiento Diario'!A29</f>
        <v/>
      </c>
      <c r="G28" s="213">
        <f>'Seguimiento Diario'!E29</f>
        <v/>
      </c>
      <c r="H28" s="213">
        <f>'Seguimiento Diario'!D29</f>
        <v/>
      </c>
      <c r="I28" s="213">
        <f>'Seguimiento Diario'!J29</f>
        <v/>
      </c>
    </row>
    <row r="29">
      <c r="A29" s="241">
        <f>'Seguimiento Diario'!A30</f>
        <v/>
      </c>
      <c r="B29" s="242">
        <f>'Seguimiento Diario'!H30</f>
        <v/>
      </c>
      <c r="C29" s="213">
        <f>IF('Seguimiento Diario'!$S$6&gt;0,'Seguimiento Diario'!$D$4/'Seguimiento Diario'!$S$6,"")</f>
        <v/>
      </c>
      <c r="D29" s="213">
        <f>'Seguimiento Diario'!O30</f>
        <v/>
      </c>
      <c r="E29" s="213" t="n"/>
      <c r="F29" s="213">
        <f>'Seguimiento Diario'!A30</f>
        <v/>
      </c>
      <c r="G29" s="213">
        <f>'Seguimiento Diario'!E30</f>
        <v/>
      </c>
      <c r="H29" s="213">
        <f>'Seguimiento Diario'!D30</f>
        <v/>
      </c>
      <c r="I29" s="213">
        <f>'Seguimiento Diario'!J30</f>
        <v/>
      </c>
    </row>
    <row r="30">
      <c r="A30" s="241">
        <f>'Seguimiento Diario'!A31</f>
        <v/>
      </c>
      <c r="B30" s="242">
        <f>'Seguimiento Diario'!H31</f>
        <v/>
      </c>
      <c r="C30" s="213">
        <f>IF('Seguimiento Diario'!$S$6&gt;0,'Seguimiento Diario'!$D$4/'Seguimiento Diario'!$S$6,"")</f>
        <v/>
      </c>
      <c r="D30" s="213">
        <f>'Seguimiento Diario'!O31</f>
        <v/>
      </c>
      <c r="E30" s="213" t="n"/>
      <c r="F30" s="213">
        <f>'Seguimiento Diario'!A31</f>
        <v/>
      </c>
      <c r="G30" s="213">
        <f>'Seguimiento Diario'!E31</f>
        <v/>
      </c>
      <c r="H30" s="213">
        <f>'Seguimiento Diario'!D31</f>
        <v/>
      </c>
      <c r="I30" s="213">
        <f>'Seguimiento Diario'!J31</f>
        <v/>
      </c>
    </row>
    <row r="31">
      <c r="A31" s="241">
        <f>'Seguimiento Diario'!A32</f>
        <v/>
      </c>
      <c r="B31" s="242">
        <f>'Seguimiento Diario'!H32</f>
        <v/>
      </c>
      <c r="C31" s="213">
        <f>IF('Seguimiento Diario'!$S$6&gt;0,'Seguimiento Diario'!$D$4/'Seguimiento Diario'!$S$6,"")</f>
        <v/>
      </c>
      <c r="D31" s="213">
        <f>'Seguimiento Diario'!O32</f>
        <v/>
      </c>
      <c r="E31" s="213" t="n"/>
      <c r="F31" s="213">
        <f>'Seguimiento Diario'!A32</f>
        <v/>
      </c>
      <c r="G31" s="213">
        <f>'Seguimiento Diario'!E32</f>
        <v/>
      </c>
      <c r="H31" s="213">
        <f>'Seguimiento Diario'!D32</f>
        <v/>
      </c>
      <c r="I31" s="213">
        <f>'Seguimiento Diario'!J32</f>
        <v/>
      </c>
    </row>
    <row r="32">
      <c r="A32" s="241">
        <f>'Seguimiento Diario'!A33</f>
        <v/>
      </c>
      <c r="B32" s="242">
        <f>'Seguimiento Diario'!H33</f>
        <v/>
      </c>
      <c r="C32" s="213">
        <f>IF('Seguimiento Diario'!$S$6&gt;0,'Seguimiento Diario'!$D$4/'Seguimiento Diario'!$S$6,"")</f>
        <v/>
      </c>
      <c r="D32" s="213">
        <f>'Seguimiento Diario'!O33</f>
        <v/>
      </c>
      <c r="E32" s="213" t="n"/>
      <c r="F32" s="213">
        <f>'Seguimiento Diario'!A33</f>
        <v/>
      </c>
      <c r="G32" s="213">
        <f>'Seguimiento Diario'!E33</f>
        <v/>
      </c>
      <c r="H32" s="213">
        <f>'Seguimiento Diario'!D33</f>
        <v/>
      </c>
      <c r="I32" s="213">
        <f>'Seguimiento Diario'!J33</f>
        <v/>
      </c>
    </row>
    <row r="33">
      <c r="A33">
        <f>IFERROR('Seguimiento Diario'!A34,"")</f>
        <v/>
      </c>
      <c r="B33">
        <f>IFERROR('Seguimiento Diario'!H34,0)</f>
        <v/>
      </c>
      <c r="C33">
        <f>IFERROR(IF('Seguimiento Diario'!$S$6&gt;0,'Seguimiento Diario'!$D$4/'Seguimiento Diario'!$S$6,0),0)</f>
        <v/>
      </c>
      <c r="D33">
        <f>IFERROR('Seguimiento Diario'!O34,0)</f>
        <v/>
      </c>
    </row>
    <row r="34">
      <c r="A34">
        <f>IFERROR('Seguimiento Diario'!A35,"")</f>
        <v/>
      </c>
      <c r="B34">
        <f>IFERROR('Seguimiento Diario'!H35,0)</f>
        <v/>
      </c>
      <c r="C34">
        <f>IFERROR(IF('Seguimiento Diario'!$S$6&gt;0,'Seguimiento Diario'!$D$4/'Seguimiento Diario'!$S$6,0),0)</f>
        <v/>
      </c>
      <c r="D34">
        <f>IFERROR('Seguimiento Diario'!O35,0)</f>
        <v/>
      </c>
    </row>
    <row r="35">
      <c r="A35">
        <f>IFERROR('Seguimiento Diario'!A36,"")</f>
        <v/>
      </c>
      <c r="B35">
        <f>IFERROR('Seguimiento Diario'!H36,0)</f>
        <v/>
      </c>
      <c r="C35">
        <f>IFERROR(IF('Seguimiento Diario'!$S$6&gt;0,'Seguimiento Diario'!$D$4/'Seguimiento Diario'!$S$6,0),0)</f>
        <v/>
      </c>
      <c r="D35">
        <f>IFERROR('Seguimiento Diario'!O36,0)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25" customWidth="1" min="8" max="8"/>
  </cols>
  <sheetData>
    <row r="1">
      <c r="A1" s="511" t="inlineStr">
        <is>
          <t>HISTÓRICO MENSUAL - HOTEL INH3RI</t>
        </is>
      </c>
    </row>
    <row r="2">
      <c r="A2" s="512" t="inlineStr">
        <is>
          <t>Al cerrar cada mes, copia los totales aquí para comparar tendencias.</t>
        </is>
      </c>
    </row>
    <row r="4">
      <c r="A4" s="513" t="inlineStr">
        <is>
          <t>MES</t>
        </is>
      </c>
      <c r="B4" s="513" t="inlineStr">
        <is>
          <t>AÑO</t>
        </is>
      </c>
      <c r="C4" s="513" t="inlineStr">
        <is>
          <t>OCUPACIÓN %</t>
        </is>
      </c>
      <c r="D4" s="513" t="inlineStr">
        <is>
          <t>TARIFA PROM</t>
        </is>
      </c>
      <c r="E4" s="513" t="inlineStr">
        <is>
          <t>REVPAR</t>
        </is>
      </c>
      <c r="F4" s="513" t="inlineStr">
        <is>
          <t>INGRESOS</t>
        </is>
      </c>
      <c r="G4" s="513" t="inlineStr">
        <is>
          <t>HAB VACANTES</t>
        </is>
      </c>
      <c r="H4" s="513" t="inlineStr">
        <is>
          <t>NOTAS</t>
        </is>
      </c>
    </row>
    <row r="5">
      <c r="A5">
        <f>IF('Seguimiento Diario'!S3&lt;&gt;"", 'Seguimiento Diario'!S3, "")</f>
        <v/>
      </c>
      <c r="B5">
        <f>IF('Seguimiento Diario'!S4&lt;&gt;"", 'Seguimiento Diario'!S4, "")</f>
        <v/>
      </c>
      <c r="C5" s="514">
        <f>IF(COUNTA('Seguimiento Diario'!E6:E36)='Seguimiento Diario'!$S$6, Hoja1!H37, "En progreso")</f>
        <v/>
      </c>
      <c r="D5" s="515">
        <f>IF(COUNTA('Seguimiento Diario'!E6:E36)='Seguimiento Diario'!$S$6, Hoja1!J37, "-")</f>
        <v/>
      </c>
      <c r="E5" s="515">
        <f>IF(COUNTA('Seguimiento Diario'!E6:E36)='Seguimiento Diario'!$S$6, Hoja1!K37, "-")</f>
        <v/>
      </c>
      <c r="F5" s="515">
        <f>IF(COUNTA('Seguimiento Diario'!E6:E36)='Seguimiento Diario'!$S$6, Hoja1!I37, "-")</f>
        <v/>
      </c>
      <c r="G5">
        <f>IF(COUNTA('Seguimiento Diario'!E6:E36)='Seguimiento Diario'!$S$6, Hoja1!F37, "-")</f>
        <v/>
      </c>
    </row>
    <row r="6">
      <c r="A6" s="516" t="n"/>
      <c r="B6" s="516" t="n"/>
      <c r="C6" s="516" t="n"/>
      <c r="D6" s="516" t="n"/>
      <c r="E6" s="516" t="n"/>
      <c r="F6" s="516" t="n"/>
      <c r="G6" s="516" t="n"/>
      <c r="H6" s="516" t="n"/>
    </row>
    <row r="7">
      <c r="A7" s="516" t="n"/>
      <c r="B7" s="516" t="n"/>
      <c r="C7" s="516" t="n"/>
      <c r="D7" s="516" t="n"/>
      <c r="E7" s="516" t="n"/>
      <c r="F7" s="516" t="n"/>
      <c r="G7" s="516" t="n"/>
      <c r="H7" s="516" t="n"/>
    </row>
    <row r="8">
      <c r="A8" s="516" t="n"/>
      <c r="B8" s="516" t="n"/>
      <c r="C8" s="516" t="n"/>
      <c r="D8" s="516" t="n"/>
      <c r="E8" s="516" t="n"/>
      <c r="F8" s="516" t="n"/>
      <c r="G8" s="516" t="n"/>
      <c r="H8" s="516" t="n"/>
    </row>
    <row r="9">
      <c r="A9" s="516" t="n"/>
      <c r="B9" s="516" t="n"/>
      <c r="C9" s="516" t="n"/>
      <c r="D9" s="516" t="n"/>
      <c r="E9" s="516" t="n"/>
      <c r="F9" s="516" t="n"/>
      <c r="G9" s="516" t="n"/>
      <c r="H9" s="516" t="n"/>
    </row>
    <row r="10">
      <c r="A10" s="516" t="n"/>
      <c r="B10" s="516" t="n"/>
      <c r="C10" s="516" t="n"/>
      <c r="D10" s="516" t="n"/>
      <c r="E10" s="516" t="n"/>
      <c r="F10" s="516" t="n"/>
      <c r="G10" s="516" t="n"/>
      <c r="H10" s="516" t="n"/>
    </row>
    <row r="11">
      <c r="A11" s="516" t="n"/>
      <c r="B11" s="516" t="n"/>
      <c r="C11" s="516" t="n"/>
      <c r="D11" s="516" t="n"/>
      <c r="E11" s="516" t="n"/>
      <c r="F11" s="516" t="n"/>
      <c r="G11" s="516" t="n"/>
      <c r="H11" s="516" t="n"/>
    </row>
    <row r="12">
      <c r="A12" s="516" t="n"/>
      <c r="B12" s="516" t="n"/>
      <c r="C12" s="516" t="n"/>
      <c r="D12" s="516" t="n"/>
      <c r="E12" s="516" t="n"/>
      <c r="F12" s="516" t="n"/>
      <c r="G12" s="516" t="n"/>
      <c r="H12" s="516" t="n"/>
    </row>
    <row r="13">
      <c r="A13" s="516" t="n"/>
      <c r="B13" s="516" t="n"/>
      <c r="C13" s="516" t="n"/>
      <c r="D13" s="516" t="n"/>
      <c r="E13" s="516" t="n"/>
      <c r="F13" s="516" t="n"/>
      <c r="G13" s="516" t="n"/>
      <c r="H13" s="516" t="n"/>
    </row>
    <row r="14">
      <c r="A14" s="516" t="n"/>
      <c r="B14" s="516" t="n"/>
      <c r="C14" s="516" t="n"/>
      <c r="D14" s="516" t="n"/>
      <c r="E14" s="516" t="n"/>
      <c r="F14" s="516" t="n"/>
      <c r="G14" s="516" t="n"/>
      <c r="H14" s="516" t="n"/>
    </row>
    <row r="15">
      <c r="A15" s="516" t="n"/>
      <c r="B15" s="516" t="n"/>
      <c r="C15" s="516" t="n"/>
      <c r="D15" s="516" t="n"/>
      <c r="E15" s="516" t="n"/>
      <c r="F15" s="516" t="n"/>
      <c r="G15" s="516" t="n"/>
      <c r="H15" s="516" t="n"/>
    </row>
    <row r="16">
      <c r="A16" s="516" t="n"/>
      <c r="B16" s="516" t="n"/>
      <c r="C16" s="516" t="n"/>
      <c r="D16" s="516" t="n"/>
      <c r="E16" s="516" t="n"/>
      <c r="F16" s="516" t="n"/>
      <c r="G16" s="516" t="n"/>
      <c r="H16" s="516" t="n"/>
    </row>
    <row r="17">
      <c r="A17" s="516" t="n"/>
      <c r="B17" s="516" t="n"/>
      <c r="C17" s="516" t="n"/>
      <c r="D17" s="516" t="n"/>
      <c r="E17" s="516" t="n"/>
      <c r="F17" s="516" t="n"/>
      <c r="G17" s="516" t="n"/>
      <c r="H17" s="516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2026-02-02T01:55:08Z</dcterms:created>
  <dcterms:modified xsi:type="dcterms:W3CDTF">2026-02-02T21:04:40Z</dcterms:modified>
</cp:coreProperties>
</file>